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/>
  <bookViews>
    <workbookView xWindow="0" yWindow="0" windowWidth="19440" windowHeight="12195"/>
  </bookViews>
  <sheets>
    <sheet name="Facture simple" sheetId="1" r:id="rId1"/>
  </sheets>
  <definedNames>
    <definedName name="Acompte">'Facture simple'!$H$134</definedName>
    <definedName name="NomSociété">'Facture simple'!$D$139</definedName>
    <definedName name="RégionTitreColonne1..B7">'Facture simple'!$B$2</definedName>
    <definedName name="RégionTitreColonne2..B13">'Facture simple'!$B$8</definedName>
    <definedName name="RégionTitreColonne3..B16">'Facture simple'!$B$15</definedName>
    <definedName name="RégionTitreColonne4..B21">'Facture simple'!$B$17</definedName>
    <definedName name="RégionTitreColonne5..D3">'Facture simple'!$D$2</definedName>
    <definedName name="TauxTVA">'Facture simple'!$E$133</definedName>
    <definedName name="TitreColonne1">Facture[[#Headers],[Référence]]</definedName>
    <definedName name="TVA">'Facture simple'!$H$133</definedName>
  </definedNames>
  <calcPr calcId="124519"/>
</workbook>
</file>

<file path=xl/calcChain.xml><?xml version="1.0" encoding="utf-8"?>
<calcChain xmlns="http://schemas.openxmlformats.org/spreadsheetml/2006/main">
  <c r="H48" i="1"/>
  <c r="H8"/>
  <c r="H130"/>
  <c r="H129"/>
  <c r="H127"/>
  <c r="H123"/>
  <c r="H124"/>
  <c r="H125"/>
  <c r="H121"/>
  <c r="H120"/>
  <c r="H122"/>
  <c r="H126"/>
  <c r="H117"/>
  <c r="H118"/>
  <c r="H115"/>
  <c r="H116"/>
  <c r="H119"/>
  <c r="H114"/>
  <c r="H97"/>
  <c r="H106"/>
  <c r="H112"/>
  <c r="H113"/>
  <c r="H109"/>
  <c r="H110"/>
  <c r="H111"/>
  <c r="H128"/>
  <c r="H105"/>
  <c r="H98"/>
  <c r="H96"/>
  <c r="H89"/>
  <c r="H77"/>
  <c r="H76"/>
  <c r="H20"/>
  <c r="H23"/>
  <c r="H10"/>
  <c r="H5"/>
  <c r="H95"/>
  <c r="H67"/>
  <c r="H21"/>
  <c r="H64"/>
  <c r="H65"/>
  <c r="H66"/>
  <c r="H68"/>
  <c r="H69"/>
  <c r="H70"/>
  <c r="H71"/>
  <c r="H72"/>
  <c r="H73"/>
  <c r="H74"/>
  <c r="H75"/>
  <c r="H78"/>
  <c r="H79"/>
  <c r="H80"/>
  <c r="H81"/>
  <c r="H82"/>
  <c r="H83"/>
  <c r="H84"/>
  <c r="H85"/>
  <c r="H86"/>
  <c r="H87"/>
  <c r="H88"/>
  <c r="H90"/>
  <c r="H91"/>
  <c r="H92"/>
  <c r="H93"/>
  <c r="H94"/>
  <c r="H99"/>
  <c r="H100"/>
  <c r="H101"/>
  <c r="H102"/>
  <c r="H103"/>
  <c r="H104"/>
  <c r="H107"/>
  <c r="H108"/>
  <c r="H131"/>
  <c r="H35"/>
  <c r="H36"/>
  <c r="H37"/>
  <c r="H38"/>
  <c r="H39"/>
  <c r="H40"/>
  <c r="H41"/>
  <c r="H42"/>
  <c r="H43"/>
  <c r="H44"/>
  <c r="H45"/>
  <c r="H46"/>
  <c r="H47"/>
  <c r="H49"/>
  <c r="H50"/>
  <c r="H51"/>
  <c r="H52"/>
  <c r="H53"/>
  <c r="H54"/>
  <c r="H55"/>
  <c r="H56"/>
  <c r="H57"/>
  <c r="H58"/>
  <c r="H59"/>
  <c r="H60"/>
  <c r="H61"/>
  <c r="H62"/>
  <c r="H63"/>
  <c r="H19"/>
  <c r="H22"/>
  <c r="H24"/>
  <c r="H25"/>
  <c r="H26"/>
  <c r="H27"/>
  <c r="H28"/>
  <c r="H29"/>
  <c r="H30"/>
  <c r="H31"/>
  <c r="H32"/>
  <c r="H33"/>
  <c r="H34"/>
  <c r="H12"/>
  <c r="H13"/>
  <c r="H14"/>
  <c r="H15"/>
  <c r="H16"/>
  <c r="H17"/>
  <c r="H18"/>
  <c r="H11"/>
  <c r="E132" l="1"/>
  <c r="H7" l="1"/>
  <c r="H6" l="1"/>
  <c r="H9"/>
  <c r="H132" l="1"/>
  <c r="H133" l="1"/>
  <c r="H135" s="1"/>
</calcChain>
</file>

<file path=xl/sharedStrings.xml><?xml version="1.0" encoding="utf-8"?>
<sst xmlns="http://schemas.openxmlformats.org/spreadsheetml/2006/main" count="215" uniqueCount="178">
  <si>
    <t>Référence</t>
  </si>
  <si>
    <t>Description</t>
  </si>
  <si>
    <t>Prix</t>
  </si>
  <si>
    <t>Quantité</t>
  </si>
  <si>
    <t>Sous-total</t>
  </si>
  <si>
    <t xml:space="preserve">Moins acompte déjà versé </t>
  </si>
  <si>
    <t>Total de la facture</t>
  </si>
  <si>
    <t>Montant</t>
  </si>
  <si>
    <t>LIBRAIRIE AL HABACHI</t>
  </si>
  <si>
    <t>HAY ALAMAL 09JUILLET N°46 SETTAT</t>
  </si>
  <si>
    <t>elim.technique@gmail.com</t>
  </si>
  <si>
    <t>05 23 40 65 36</t>
  </si>
  <si>
    <t>REMISE  :</t>
  </si>
  <si>
    <t>التربية الاسلامية الاولى اعدادي</t>
  </si>
  <si>
    <t>التربية الاسلامية الثانية اعدادي</t>
  </si>
  <si>
    <t>التربية الاسلامية الثالثة اعدادي</t>
  </si>
  <si>
    <t>اللغة العربية الاولى اعدادي</t>
  </si>
  <si>
    <t>الواضح في التربية الاسلامية</t>
  </si>
  <si>
    <t>المفيد في التربية الاسلامية</t>
  </si>
  <si>
    <t>في رحاب التربية الاسلامية</t>
  </si>
  <si>
    <t>التفسير الواضح</t>
  </si>
  <si>
    <t xml:space="preserve">كتابي في اللغة العربية </t>
  </si>
  <si>
    <t>المفيد في اللغة العربية</t>
  </si>
  <si>
    <t>المفيد -حكاياتي-</t>
  </si>
  <si>
    <t>المفيد في -الكتابة-</t>
  </si>
  <si>
    <t>الرياضيات</t>
  </si>
  <si>
    <t>المفيد في الرياضيات</t>
  </si>
  <si>
    <t>فضاء الرياضيات</t>
  </si>
  <si>
    <t>الاساسي في النشاط العلمي</t>
  </si>
  <si>
    <t>الجديد في النشاط العلمي</t>
  </si>
  <si>
    <t>فضاء النشاط العلمي</t>
  </si>
  <si>
    <t>الواضح في النشاط العلمي</t>
  </si>
  <si>
    <t>عالم التربية التشكيلية</t>
  </si>
  <si>
    <t>التربي الاسلامية السنة الثانية ابتدائي</t>
  </si>
  <si>
    <t>التربية التشكيلية السنة الاولى الابتدائي</t>
  </si>
  <si>
    <t>التربية الاسلامية السنة الاولى الابتدائي</t>
  </si>
  <si>
    <t>اللغة العربية السنة الاولى الابتدائي</t>
  </si>
  <si>
    <t>الرياضيات السنة الاولى الابتدائي</t>
  </si>
  <si>
    <t>النشاط العلمي السنة الاولى الابتدائي</t>
  </si>
  <si>
    <t>اللغة العربية السنة الثانية الابتدائي</t>
  </si>
  <si>
    <t>مرشيدي في اللغة العربية</t>
  </si>
  <si>
    <t>في رحاب العربية</t>
  </si>
  <si>
    <t>الرياضيات السنة الثانية الابتدائي</t>
  </si>
  <si>
    <t>الجيد في الرياضيات</t>
  </si>
  <si>
    <t>النشاط العلمي السنة الثانية الابتدائي</t>
  </si>
  <si>
    <t>المختار في النشاط العلمي</t>
  </si>
  <si>
    <t>المفيد في النشاط العلمي</t>
  </si>
  <si>
    <t>المنير في التربية التشكيلية</t>
  </si>
  <si>
    <t>التربية التشكيلية السنة الثانية الابتدائي</t>
  </si>
  <si>
    <t>المختار في التربية التشكيلية</t>
  </si>
  <si>
    <t>اللغة الفرنسية السنة الثانية ابتدائي</t>
  </si>
  <si>
    <t>اللغة الفرنسية السنة الاولى ابتدائي</t>
  </si>
  <si>
    <t>chemin de lettre</t>
  </si>
  <si>
    <t>التربية الاسلامية السنة الثالثة الابتدائي</t>
  </si>
  <si>
    <t>المنير في التربية الاسلامية</t>
  </si>
  <si>
    <t>الممتاز في التربية الاسلامية</t>
  </si>
  <si>
    <t>اللغة العربية السنة الثالثةالابتدائي</t>
  </si>
  <si>
    <t>الرياضيات السنة الثالثة الابتدائي</t>
  </si>
  <si>
    <t>المرجع في الرياضيات</t>
  </si>
  <si>
    <t>النشاط العلمي السنة الثالثة الابتدائي</t>
  </si>
  <si>
    <t>المنهل في النشاط العلمي</t>
  </si>
  <si>
    <t>الاساسي في التربية التشكيلية</t>
  </si>
  <si>
    <t>التربية التشكيلية السنة الثالثة الابتدائي</t>
  </si>
  <si>
    <t>المفيد في التربية التشكيلية</t>
  </si>
  <si>
    <t>L'oasis des mots</t>
  </si>
  <si>
    <t>اللغة الفرنسية السنة الثالثةة ابتدائي</t>
  </si>
  <si>
    <t>التربية الاسلامية السنة الرابع ابتدائي</t>
  </si>
  <si>
    <t>اللغة العربية السنة الرابع ابتدائي</t>
  </si>
  <si>
    <t>واحة الكلمات</t>
  </si>
  <si>
    <t>الرياضيات السنة الرابع ابتدائي</t>
  </si>
  <si>
    <t xml:space="preserve">النشاط العلمي السنة الرابع ابتدائي </t>
  </si>
  <si>
    <t>المرشد في النشاط العلمي</t>
  </si>
  <si>
    <t>التربية التشكيلية السنة الرابع ابتدائي</t>
  </si>
  <si>
    <t xml:space="preserve">المعتمد في التربية التشكيلية </t>
  </si>
  <si>
    <t xml:space="preserve">المفيد في التربية التشكيلية </t>
  </si>
  <si>
    <t>الجديد في الاجتماعيات</t>
  </si>
  <si>
    <t>الاجتماعيات السنة الرابع ابتدائي</t>
  </si>
  <si>
    <t>في رحاب الاجتماعيات</t>
  </si>
  <si>
    <t>اللغة الفرنسية السنة الرابع ابتدائي</t>
  </si>
  <si>
    <t>pour communiquer</t>
  </si>
  <si>
    <t>التربية الاسلامية السنة الخامس ابتدائي</t>
  </si>
  <si>
    <t xml:space="preserve">اللغة العربية السنة الخامس ابتدائي </t>
  </si>
  <si>
    <t>الرياضيات السنة الخامس ابتدائي</t>
  </si>
  <si>
    <t>النشاط العلمي السنة الخامس ابتدائي</t>
  </si>
  <si>
    <t>التربية التشكيلية السنة الخامس ابتدائي</t>
  </si>
  <si>
    <t>الاجتماعيات السنة الخامس ابتدائي</t>
  </si>
  <si>
    <t>اللغة الفرنسية السنة الخامس ابتدائي</t>
  </si>
  <si>
    <t xml:space="preserve">parcours </t>
  </si>
  <si>
    <t>التربية الاسلامية السنة السادس ابتدائي</t>
  </si>
  <si>
    <t>في رحاب اللغة العربية</t>
  </si>
  <si>
    <t>اللغة العربية السنة السادس ابتدائي</t>
  </si>
  <si>
    <t xml:space="preserve">الرياضيات السنة السادس ابتدائي </t>
  </si>
  <si>
    <t>الجديد في الرياضيات</t>
  </si>
  <si>
    <t>التربية التشكيلية السنة السادس ابتدائي</t>
  </si>
  <si>
    <t>المعتمد في التربية التشكيلية</t>
  </si>
  <si>
    <t>لنشاط العلمي السنة السادس ابتدائي</t>
  </si>
  <si>
    <t>الاجتماعيات السنة السادس ابتدائي</t>
  </si>
  <si>
    <t>اللغة الفرنسية السنة السادس ابتدائي</t>
  </si>
  <si>
    <t>mes apprentissage</t>
  </si>
  <si>
    <t xml:space="preserve">الرائد في اللغة العربية </t>
  </si>
  <si>
    <t>الرياضيات الاولى اعدادي</t>
  </si>
  <si>
    <t>الاجتماعيات الاولى اعدادي</t>
  </si>
  <si>
    <t>الفزياء الاولى اعدادي</t>
  </si>
  <si>
    <t>العلوم الفزيائية</t>
  </si>
  <si>
    <t>المفيد في العلوم الحياة والارض</t>
  </si>
  <si>
    <t>علوم الحياة والارض الاولى اعدادي</t>
  </si>
  <si>
    <t>اللغة الفرنسية الاولى اعدادي</t>
  </si>
  <si>
    <t>L'informatique pas à pas</t>
  </si>
  <si>
    <t>احياء التربية الاسلامية</t>
  </si>
  <si>
    <t>اللغة العربية الثانية اعدادي</t>
  </si>
  <si>
    <t>الرياضيات الثانية اعدادي</t>
  </si>
  <si>
    <t>واحة الرياضيات</t>
  </si>
  <si>
    <t>منار الاجتماعيات</t>
  </si>
  <si>
    <t>الاجتماعيات الثانية اعدادي</t>
  </si>
  <si>
    <t>الفزياء الثانية اعدادي</t>
  </si>
  <si>
    <t>واحة العلوم الفزيائية</t>
  </si>
  <si>
    <t>علوم الحياة والارض الثانية اعدادي</t>
  </si>
  <si>
    <t>اللغة الفرنسية الثانية اعدادي</t>
  </si>
  <si>
    <t>parcours en francais</t>
  </si>
  <si>
    <t>مكتبة الحبشي</t>
  </si>
  <si>
    <t>نبيل حبشي</t>
  </si>
  <si>
    <t>حي الامل شارع يوليوز رقم 46 سطات</t>
  </si>
  <si>
    <t>26000 سطات</t>
  </si>
  <si>
    <t>اللغة العربية الثالثة اعدادي</t>
  </si>
  <si>
    <t>الرياضيات الثالثة اعدادي</t>
  </si>
  <si>
    <t>المحيط في الرياضيات</t>
  </si>
  <si>
    <t>parcous du francais</t>
  </si>
  <si>
    <t>focus ( student book + work book )</t>
  </si>
  <si>
    <t>الاجتماعيات الثالثة اعدادي</t>
  </si>
  <si>
    <t>الفزياء الثالثة اعدادي</t>
  </si>
  <si>
    <t>علوم الحياة والارض الثالثة اعدادي</t>
  </si>
  <si>
    <t>اللغة الفرنسية الثالثة اعدادي</t>
  </si>
  <si>
    <t>اللغة الانجليزية الثالثة اعدادي</t>
  </si>
  <si>
    <t>مرشدي الى واجباتي المدرسية عربي فرنسي</t>
  </si>
  <si>
    <t>مرشدي في اللغة العربية</t>
  </si>
  <si>
    <t>dire,faire et agir</t>
  </si>
  <si>
    <t>النجاح في التربية الاسلامية</t>
  </si>
  <si>
    <t>التربية الفنية</t>
  </si>
  <si>
    <t>في رحاب+ممتاز التربية الاسلامية</t>
  </si>
  <si>
    <t>المنير +الواضح  في النشاط العلمي</t>
  </si>
  <si>
    <t>المفيد+الجديد في الاجتماعيات</t>
  </si>
  <si>
    <t>المنير+ المرشيدي في اللغة العربية</t>
  </si>
  <si>
    <t xml:space="preserve">mon cahier de francais </t>
  </si>
  <si>
    <t>le francais pratique</t>
  </si>
  <si>
    <t xml:space="preserve">L'heure de francais+parcours </t>
  </si>
  <si>
    <t>فضاء+ في رحاب التربية الاسلامية</t>
  </si>
  <si>
    <t>في رحاب التربية الاسلامية الثانية باك</t>
  </si>
  <si>
    <t>فضاء+في رحاب الاجتماعيات</t>
  </si>
  <si>
    <t>عز الدين العالمي</t>
  </si>
  <si>
    <t>التربية الاسرية</t>
  </si>
  <si>
    <t>الربية الاسرية</t>
  </si>
  <si>
    <t>al jadid en technologie</t>
  </si>
  <si>
    <t>T,C</t>
  </si>
  <si>
    <t>مسار التاريخ والجغرفيا</t>
  </si>
  <si>
    <t>منار ااتارخ والجغرافيا</t>
  </si>
  <si>
    <t>SIGMA PHYSIQUE CHIMIE</t>
  </si>
  <si>
    <t>في رحاب التاريخ</t>
  </si>
  <si>
    <t>منهل العلوم الحياة والارض</t>
  </si>
  <si>
    <t>في رحاب الفلسفة</t>
  </si>
  <si>
    <t>منار الفلسفة</t>
  </si>
  <si>
    <t>LES ŒUVRES INTEGRALES</t>
  </si>
  <si>
    <t>1BAC</t>
  </si>
  <si>
    <t>مورد التاريخ والجغرافيا</t>
  </si>
  <si>
    <t>مباهج الفلسفة</t>
  </si>
  <si>
    <t>2BAC</t>
  </si>
  <si>
    <t>منار الجغرافيا</t>
  </si>
  <si>
    <t xml:space="preserve">في رحاب الفلسفة </t>
  </si>
  <si>
    <t>ENGLISH</t>
  </si>
  <si>
    <t>OUTLOOK T,C</t>
  </si>
  <si>
    <t>TICKET 2 ENGLICH BOOK</t>
  </si>
  <si>
    <t>TICKET 2 ENGLICH WORKBOOK</t>
  </si>
  <si>
    <t>TICKET ENGLISH T,C WORKBOOK</t>
  </si>
  <si>
    <t>مذكرة الدروس اليومية النمودج 2</t>
  </si>
  <si>
    <t>مذكرة الدروس اليومية النمودج 1</t>
  </si>
  <si>
    <t>مذكرة الدروس اليومية النمودج 1 بالفرنسية</t>
  </si>
  <si>
    <t>BAC EXPRESS MAT+SVT+PC</t>
  </si>
  <si>
    <t>باك تربية اسلامية EXPRESS</t>
  </si>
  <si>
    <t>المنير في اللغة العربية</t>
  </si>
</sst>
</file>

<file path=xl/styles.xml><?xml version="1.0" encoding="utf-8"?>
<styleSheet xmlns="http://schemas.openxmlformats.org/spreadsheetml/2006/main">
  <numFmts count="6"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0.0%"/>
    <numFmt numFmtId="166" formatCode="#,##0_ ;\-#,##0\ "/>
    <numFmt numFmtId="167" formatCode="0#&quot; &quot;##&quot; &quot;##&quot; &quot;##&quot; &quot;##"/>
    <numFmt numFmtId="168" formatCode="_-* #,##0.00\ [$€-40C]_-;\-* #,##0.00\ [$€-40C]_-;_-* &quot;-&quot;??\ [$€-40C]_-;_-@_-"/>
  </numFmts>
  <fonts count="33">
    <font>
      <sz val="11"/>
      <color theme="1"/>
      <name val="Arial"/>
      <family val="2"/>
      <scheme val="minor"/>
    </font>
    <font>
      <sz val="9"/>
      <name val="Arial"/>
      <family val="2"/>
    </font>
    <font>
      <b/>
      <sz val="11"/>
      <color theme="1"/>
      <name val="Arial"/>
      <family val="2"/>
      <scheme val="minor"/>
    </font>
    <font>
      <b/>
      <sz val="20"/>
      <color theme="4"/>
      <name val="Arial"/>
      <family val="2"/>
      <scheme val="major"/>
    </font>
    <font>
      <b/>
      <sz val="20"/>
      <color theme="1"/>
      <name val="Arial"/>
      <family val="2"/>
      <scheme val="minor"/>
    </font>
    <font>
      <sz val="11"/>
      <color theme="4" tint="-0.24994659260841701"/>
      <name val="Arial"/>
      <family val="2"/>
      <scheme val="minor"/>
    </font>
    <font>
      <b/>
      <sz val="22"/>
      <color theme="4"/>
      <name val="Arial"/>
      <family val="2"/>
      <scheme val="minor"/>
    </font>
    <font>
      <b/>
      <sz val="11"/>
      <color theme="4" tint="-0.2499465926084170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rgb="FF7030A0"/>
      <name val="Arial"/>
      <family val="2"/>
      <scheme val="minor"/>
    </font>
    <font>
      <b/>
      <sz val="11"/>
      <color rgb="FF92D050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11"/>
      <color rgb="FF002060"/>
      <name val="Arial"/>
      <family val="2"/>
      <scheme val="minor"/>
    </font>
    <font>
      <b/>
      <sz val="11"/>
      <color rgb="FF00B0F0"/>
      <name val="Arial"/>
      <family val="2"/>
      <scheme val="minor"/>
    </font>
    <font>
      <b/>
      <sz val="14"/>
      <color rgb="FF7030A0"/>
      <name val="Arial"/>
      <family val="2"/>
      <scheme val="minor"/>
    </font>
    <font>
      <b/>
      <sz val="20"/>
      <color rgb="FF7030A0"/>
      <name val="Arial"/>
      <family val="2"/>
      <scheme val="minor"/>
    </font>
    <font>
      <b/>
      <sz val="10"/>
      <color theme="1"/>
      <name val="Arial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horizontal="left" vertical="center" wrapText="1" indent="1"/>
    </xf>
    <xf numFmtId="165" fontId="9" fillId="0" borderId="0" applyFont="0" applyFill="0" applyBorder="0" applyAlignment="0" applyProtection="0"/>
    <xf numFmtId="0" fontId="5" fillId="0" borderId="0">
      <alignment horizontal="left" vertical="center" wrapText="1"/>
    </xf>
    <xf numFmtId="0" fontId="5" fillId="0" borderId="0">
      <alignment horizontal="left" vertical="center" wrapText="1"/>
    </xf>
    <xf numFmtId="166" fontId="8" fillId="0" borderId="0" applyFont="0" applyFill="0" applyBorder="0" applyProtection="0">
      <alignment horizontal="right" vertical="center" indent="1"/>
    </xf>
    <xf numFmtId="164" fontId="8" fillId="0" borderId="0" applyFont="0" applyFill="0" applyBorder="0" applyAlignment="0" applyProtection="0"/>
    <xf numFmtId="44" fontId="8" fillId="0" borderId="5" applyFont="0" applyFill="0" applyAlignment="0" applyProtection="0"/>
    <xf numFmtId="44" fontId="8" fillId="0" borderId="6" applyFont="0" applyFill="0" applyAlignment="0" applyProtection="0"/>
    <xf numFmtId="0" fontId="3" fillId="0" borderId="1">
      <alignment horizontal="right" vertical="center" indent="1"/>
    </xf>
    <xf numFmtId="14" fontId="4" fillId="0" borderId="1">
      <alignment horizontal="left" vertical="center"/>
    </xf>
    <xf numFmtId="0" fontId="2" fillId="0" borderId="0">
      <alignment wrapText="1"/>
    </xf>
    <xf numFmtId="0" fontId="5" fillId="0" borderId="0">
      <alignment horizontal="left" vertical="center" wrapText="1"/>
    </xf>
    <xf numFmtId="0" fontId="6" fillId="0" borderId="2"/>
    <xf numFmtId="0" fontId="8" fillId="0" borderId="4">
      <alignment vertical="center"/>
    </xf>
    <xf numFmtId="0" fontId="2" fillId="0" borderId="0" applyNumberFormat="0" applyFill="0" applyBorder="0">
      <alignment horizontal="right"/>
    </xf>
    <xf numFmtId="0" fontId="7" fillId="0" borderId="0" applyNumberFormat="0" applyFill="0" applyBorder="0">
      <alignment horizontal="right"/>
    </xf>
    <xf numFmtId="0" fontId="8" fillId="0" borderId="1" applyNumberFormat="0" applyFont="0" applyFill="0" applyAlignment="0">
      <alignment wrapText="1"/>
    </xf>
    <xf numFmtId="167" fontId="8" fillId="0" borderId="0" applyFont="0" applyFill="0" applyBorder="0" applyAlignment="0">
      <alignment horizontal="left" vertical="center" wrapText="1" indent="1"/>
    </xf>
    <xf numFmtId="0" fontId="2" fillId="0" borderId="0" applyNumberFormat="0" applyFill="0" applyBorder="0" applyProtection="0">
      <alignment horizontal="right" vertical="center" indent="1"/>
    </xf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7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19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19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19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19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19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</cellStyleXfs>
  <cellXfs count="56">
    <xf numFmtId="0" fontId="0" fillId="0" borderId="0" xfId="0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right" vertical="center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3" fillId="0" borderId="1" xfId="8">
      <alignment horizontal="right" vertical="center" indent="1"/>
    </xf>
    <xf numFmtId="0" fontId="2" fillId="0" borderId="0" xfId="10">
      <alignment wrapText="1"/>
    </xf>
    <xf numFmtId="0" fontId="0" fillId="0" borderId="0" xfId="0">
      <alignment horizontal="left" vertical="center" wrapText="1" indent="1"/>
    </xf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>
      <alignment horizontal="left" vertical="center" wrapText="1" indent="1"/>
    </xf>
    <xf numFmtId="0" fontId="2" fillId="0" borderId="0" xfId="14">
      <alignment horizontal="right"/>
    </xf>
    <xf numFmtId="0" fontId="5" fillId="0" borderId="0" xfId="11">
      <alignment horizontal="left" vertical="center" wrapText="1"/>
    </xf>
    <xf numFmtId="167" fontId="5" fillId="0" borderId="0" xfId="17" applyFont="1" applyAlignment="1">
      <alignment horizontal="left" vertical="center" wrapText="1"/>
    </xf>
    <xf numFmtId="0" fontId="2" fillId="0" borderId="0" xfId="18">
      <alignment horizontal="right" vertical="center" indent="1"/>
    </xf>
    <xf numFmtId="0" fontId="2" fillId="0" borderId="0" xfId="10">
      <alignment wrapText="1"/>
    </xf>
    <xf numFmtId="0" fontId="0" fillId="0" borderId="1" xfId="16" applyFont="1" applyAlignment="1">
      <alignment horizontal="left" vertical="center" wrapText="1" indent="1"/>
    </xf>
    <xf numFmtId="166" fontId="20" fillId="0" borderId="0" xfId="4" applyFont="1" applyBorder="1">
      <alignment horizontal="right" vertical="center" indent="1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Border="1">
      <alignment horizontal="left" vertical="center" wrapText="1" indent="1"/>
    </xf>
    <xf numFmtId="0" fontId="0" fillId="0" borderId="0" xfId="0" applyFont="1" applyBorder="1" applyAlignment="1">
      <alignment horizontal="left" vertical="center" indent="1"/>
    </xf>
    <xf numFmtId="0" fontId="23" fillId="0" borderId="0" xfId="0" applyFont="1" applyBorder="1">
      <alignment horizontal="left" vertical="center" wrapText="1" indent="1"/>
    </xf>
    <xf numFmtId="0" fontId="24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7" fillId="0" borderId="0" xfId="0" applyFont="1" applyBorder="1">
      <alignment horizontal="left" vertical="center" wrapText="1" indent="1"/>
    </xf>
    <xf numFmtId="0" fontId="28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30" fillId="0" borderId="0" xfId="11" applyFont="1" applyAlignment="1">
      <alignment horizontal="center" vertical="center" wrapText="1"/>
    </xf>
    <xf numFmtId="167" fontId="30" fillId="0" borderId="0" xfId="17" applyFont="1" applyAlignment="1">
      <alignment horizontal="center" vertical="center" wrapText="1"/>
    </xf>
    <xf numFmtId="0" fontId="30" fillId="0" borderId="0" xfId="10" applyFont="1" applyAlignment="1">
      <alignment horizontal="center" wrapText="1"/>
    </xf>
    <xf numFmtId="14" fontId="31" fillId="0" borderId="1" xfId="9" applyFont="1">
      <alignment horizontal="left" vertical="center"/>
    </xf>
    <xf numFmtId="0" fontId="26" fillId="0" borderId="0" xfId="0" applyFont="1" applyBorder="1" applyAlignment="1">
      <alignment horizontal="center" vertical="center" wrapText="1"/>
    </xf>
    <xf numFmtId="168" fontId="0" fillId="0" borderId="0" xfId="0" applyNumberFormat="1" applyFont="1" applyBorder="1" applyAlignment="1">
      <alignment vertical="center"/>
    </xf>
    <xf numFmtId="2" fontId="20" fillId="0" borderId="0" xfId="6" applyNumberFormat="1" applyFont="1" applyBorder="1" applyAlignment="1">
      <alignment vertical="center"/>
    </xf>
    <xf numFmtId="0" fontId="32" fillId="0" borderId="0" xfId="0" applyFont="1" applyBorder="1" applyAlignment="1">
      <alignment horizontal="center" vertical="center" wrapText="1"/>
    </xf>
    <xf numFmtId="166" fontId="32" fillId="0" borderId="0" xfId="4" applyFont="1" applyBorder="1">
      <alignment horizontal="right" vertical="center" indent="1"/>
    </xf>
    <xf numFmtId="0" fontId="20" fillId="0" borderId="0" xfId="0" applyFont="1" applyBorder="1" applyAlignment="1">
      <alignment horizontal="center" vertical="center" wrapText="1"/>
    </xf>
    <xf numFmtId="2" fontId="32" fillId="0" borderId="5" xfId="6" applyNumberFormat="1" applyFont="1" applyFill="1" applyAlignment="1">
      <alignment vertical="center"/>
    </xf>
    <xf numFmtId="2" fontId="20" fillId="0" borderId="5" xfId="6" applyNumberFormat="1" applyFont="1" applyFill="1" applyAlignment="1">
      <alignment vertical="center"/>
    </xf>
    <xf numFmtId="2" fontId="8" fillId="0" borderId="5" xfId="0" applyNumberFormat="1" applyFont="1" applyFill="1" applyBorder="1" applyAlignment="1">
      <alignment horizontal="right" vertical="center" wrapText="1" indent="1"/>
    </xf>
    <xf numFmtId="2" fontId="32" fillId="0" borderId="0" xfId="6" applyNumberFormat="1" applyFont="1" applyBorder="1" applyAlignment="1">
      <alignment vertical="center"/>
    </xf>
    <xf numFmtId="2" fontId="2" fillId="0" borderId="5" xfId="6" applyNumberFormat="1" applyFont="1" applyAlignment="1">
      <alignment horizontal="right" vertical="center" wrapText="1" indent="1"/>
    </xf>
    <xf numFmtId="2" fontId="2" fillId="0" borderId="6" xfId="7" applyNumberFormat="1" applyFont="1" applyAlignment="1">
      <alignment horizontal="right" vertical="center" wrapText="1" indent="1"/>
    </xf>
    <xf numFmtId="0" fontId="5" fillId="0" borderId="0" xfId="11" applyBorder="1">
      <alignment horizontal="left" vertical="center" wrapText="1"/>
    </xf>
    <xf numFmtId="0" fontId="5" fillId="0" borderId="0" xfId="11">
      <alignment horizontal="left" vertical="center" wrapText="1"/>
    </xf>
    <xf numFmtId="0" fontId="2" fillId="0" borderId="0" xfId="10">
      <alignment wrapText="1"/>
    </xf>
    <xf numFmtId="0" fontId="6" fillId="0" borderId="3" xfId="12" applyBorder="1"/>
    <xf numFmtId="14" fontId="4" fillId="0" borderId="1" xfId="9">
      <alignment horizontal="left" vertical="center"/>
    </xf>
    <xf numFmtId="0" fontId="3" fillId="0" borderId="1" xfId="8">
      <alignment horizontal="right" vertical="center" indent="1"/>
    </xf>
    <xf numFmtId="0" fontId="7" fillId="0" borderId="0" xfId="15">
      <alignment horizontal="right"/>
    </xf>
    <xf numFmtId="0" fontId="2" fillId="0" borderId="0" xfId="14">
      <alignment horizontal="right"/>
    </xf>
    <xf numFmtId="165" fontId="0" fillId="0" borderId="0" xfId="1" applyFont="1" applyAlignment="1">
      <alignment horizontal="left" vertical="center" wrapText="1" indent="1"/>
    </xf>
  </cellXfs>
  <cellStyles count="52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6" builtinId="11" customBuiltin="1"/>
    <cellStyle name="Calcul" xfId="23" builtinId="22" customBuiltin="1"/>
    <cellStyle name="Cellule liée" xfId="24" builtinId="24" customBuiltin="1"/>
    <cellStyle name="Commentaire" xfId="14" builtinId="10" customBuiltin="1"/>
    <cellStyle name="Entrée" xfId="22" builtinId="20" customBuiltin="1"/>
    <cellStyle name="Insatisfaisant" xfId="20" builtinId="27" customBuiltin="1"/>
    <cellStyle name="Lien hypertexte" xfId="2" builtinId="8" customBuiltin="1"/>
    <cellStyle name="Lien hypertexte visité" xfId="3" builtinId="9" customBuiltin="1"/>
    <cellStyle name="Milliers" xfId="4" builtinId="3" customBuiltin="1"/>
    <cellStyle name="Milliers [0]" xfId="5" builtinId="6" customBuiltin="1"/>
    <cellStyle name="Monétaire" xfId="6" builtinId="4" customBuiltin="1"/>
    <cellStyle name="Monétaire [0]" xfId="7" builtinId="7" customBuiltin="1"/>
    <cellStyle name="Neutre" xfId="21" builtinId="28" customBuiltin="1"/>
    <cellStyle name="Normal" xfId="0" builtinId="0" customBuiltin="1"/>
    <cellStyle name="Paiement dû à la réception" xfId="15"/>
    <cellStyle name="Pourcentage" xfId="1" builtinId="5" customBuiltin="1"/>
    <cellStyle name="Satisfaisant" xfId="19" builtinId="26" customBuiltin="1"/>
    <cellStyle name="Séparateur épais foncé" xfId="16"/>
    <cellStyle name="Sortie" xfId="13" builtinId="21" customBuiltin="1"/>
    <cellStyle name="Téléphone" xfId="17"/>
    <cellStyle name="Texte explicatif" xfId="27" builtinId="53" customBuiltin="1"/>
    <cellStyle name="Titre" xfId="8" builtinId="15" customBuiltin="1"/>
    <cellStyle name="Titre 1" xfId="9" builtinId="16" customBuiltin="1"/>
    <cellStyle name="Titre 2" xfId="10" builtinId="17" customBuiltin="1"/>
    <cellStyle name="Titre 3" xfId="11" builtinId="18" customBuiltin="1"/>
    <cellStyle name="Titre 4" xfId="12" builtinId="19" customBuiltin="1"/>
    <cellStyle name="Total" xfId="18" builtinId="25" customBuiltin="1"/>
    <cellStyle name="Vérification" xfId="25" builtinId="23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1" indent="1" relativeIndent="0" justifyLastLine="0" shrinkToFit="0" mergeCell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_-* #,##0.00\ [$€-40C]_-;\-* #,##0.00\ [$€-40C]_-;_-* &quot;-&quot;??\ [$€-40C]_-;_-@_-"/>
      <alignment horizontal="general" vertical="center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0" indent="1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</font>
      <border>
        <left style="thin">
          <color theme="1"/>
        </left>
        <right style="thin">
          <color theme="1"/>
        </right>
        <top style="thin">
          <color theme="1"/>
        </top>
        <bottom style="thick">
          <color theme="1"/>
        </bottom>
        <vertical style="thin">
          <color theme="1"/>
        </vertical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Facture" defaultPivotStyle="PivotStyleLight16">
    <tableStyle name="Facture" pivot="0" count="3">
      <tableStyleElement type="wholeTable" dxfId="10"/>
      <tableStyleElement type="headerRow" dxfId="9"/>
      <tableStyleElement type="totalRow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acture" displayName="Facture" ref="D4:H132" totalsRowCount="1">
  <tableColumns count="5">
    <tableColumn id="1" name="Référence" totalsRowDxfId="3"/>
    <tableColumn id="2" name="Description" totalsRowFunction="custom" dataDxfId="7" totalsRowDxfId="2">
      <totalsRowFormula>"Nombre total d’articles : "&amp;SUBTOTAL(103,[Description])</totalsRowFormula>
    </tableColumn>
    <tableColumn id="3" name="Prix" dataDxfId="6" totalsRowDxfId="1"/>
    <tableColumn id="4" name="Quantité" totalsRowLabel="Sous-total" dataDxfId="5"/>
    <tableColumn id="5" name="Montant" totalsRowFunction="sum" dataDxfId="4" totalsRowDxfId="0" dataCellStyle="Monétaire">
      <calculatedColumnFormula>IFERROR(Facture[[#This Row],[Prix]]*Facture[[#This Row],[Quantité]], "")</calculatedColumnFormula>
    </tableColumn>
  </tableColumns>
  <tableStyleInfo name="Facture" showFirstColumn="0" showLastColumn="0" showRowStripes="1" showColumnStripes="0"/>
</table>
</file>

<file path=xl/theme/theme1.xml><?xml version="1.0" encoding="utf-8"?>
<a:theme xmlns:a="http://schemas.openxmlformats.org/drawingml/2006/main" name="Invoice">
  <a:themeElements>
    <a:clrScheme name="Simple Invo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F4623"/>
      </a:accent1>
      <a:accent2>
        <a:srgbClr val="DDDDDD"/>
      </a:accent2>
      <a:accent3>
        <a:srgbClr val="B2B2B2"/>
      </a:accent3>
      <a:accent4>
        <a:srgbClr val="969696"/>
      </a:accent4>
      <a:accent5>
        <a:srgbClr val="808080"/>
      </a:accent5>
      <a:accent6>
        <a:srgbClr val="5F5F5F"/>
      </a:accent6>
      <a:hlink>
        <a:srgbClr val="7F7F7F"/>
      </a:hlink>
      <a:folHlink>
        <a:srgbClr val="7F7F7F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im.techniqu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4"/>
    <pageSetUpPr fitToPage="1"/>
  </sheetPr>
  <dimension ref="B1:H141"/>
  <sheetViews>
    <sheetView showGridLines="0" tabSelected="1" workbookViewId="0">
      <selection activeCell="L49" sqref="L49"/>
    </sheetView>
  </sheetViews>
  <sheetFormatPr baseColWidth="10" defaultColWidth="9" defaultRowHeight="31.5" customHeight="1"/>
  <cols>
    <col min="1" max="1" width="2.625" customWidth="1"/>
    <col min="2" max="2" width="25.625" customWidth="1"/>
    <col min="3" max="3" width="2.625" customWidth="1"/>
    <col min="4" max="4" width="15.625" customWidth="1"/>
    <col min="5" max="5" width="26.25" customWidth="1"/>
    <col min="6" max="7" width="13.625" customWidth="1"/>
    <col min="8" max="8" width="15.625" customWidth="1"/>
    <col min="9" max="9" width="2.625" customWidth="1"/>
  </cols>
  <sheetData>
    <row r="1" spans="2:8" s="4" customFormat="1" ht="60" customHeight="1" thickBot="1">
      <c r="B1" s="34" t="s">
        <v>119</v>
      </c>
      <c r="D1" s="51"/>
      <c r="E1" s="51"/>
      <c r="F1" s="52"/>
      <c r="G1" s="52"/>
      <c r="H1" s="7"/>
    </row>
    <row r="2" spans="2:8" ht="31.5" customHeight="1" thickTop="1">
      <c r="B2" s="8"/>
      <c r="D2" s="49"/>
      <c r="E2" s="49"/>
      <c r="F2" s="49"/>
      <c r="G2" s="49"/>
      <c r="H2" s="49"/>
    </row>
    <row r="3" spans="2:8" ht="31.5" customHeight="1">
      <c r="B3" s="31" t="s">
        <v>120</v>
      </c>
      <c r="D3" s="48"/>
      <c r="E3" s="48"/>
      <c r="F3" s="48"/>
      <c r="G3" s="48"/>
      <c r="H3" s="48"/>
    </row>
    <row r="4" spans="2:8" s="9" customFormat="1" ht="31.5" customHeight="1">
      <c r="B4" s="31" t="s">
        <v>119</v>
      </c>
      <c r="D4" s="10" t="s">
        <v>0</v>
      </c>
      <c r="E4" s="10" t="s">
        <v>1</v>
      </c>
      <c r="F4" s="11" t="s">
        <v>2</v>
      </c>
      <c r="G4" s="11" t="s">
        <v>3</v>
      </c>
      <c r="H4" s="11" t="s">
        <v>7</v>
      </c>
    </row>
    <row r="5" spans="2:8" s="4" customFormat="1" ht="31.5" customHeight="1">
      <c r="B5" s="31" t="s">
        <v>121</v>
      </c>
      <c r="C5"/>
      <c r="D5" s="20" t="s">
        <v>35</v>
      </c>
      <c r="E5" s="25" t="s">
        <v>17</v>
      </c>
      <c r="F5" s="37">
        <v>16</v>
      </c>
      <c r="G5" s="19">
        <v>2</v>
      </c>
      <c r="H5" s="37">
        <f>IFERROR(Facture[[#This Row],[Prix]]*Facture[[#This Row],[Quantité]], "")</f>
        <v>32</v>
      </c>
    </row>
    <row r="6" spans="2:8" ht="31.5" customHeight="1">
      <c r="B6" s="31" t="s">
        <v>122</v>
      </c>
      <c r="D6" s="12"/>
      <c r="E6" s="25" t="s">
        <v>55</v>
      </c>
      <c r="F6" s="37">
        <v>16</v>
      </c>
      <c r="G6" s="19">
        <v>1</v>
      </c>
      <c r="H6" s="37">
        <f>IFERROR(Facture[[#This Row],[Prix]]*Facture[[#This Row],[Quantité]], "")</f>
        <v>16</v>
      </c>
    </row>
    <row r="7" spans="2:8" ht="31.5" customHeight="1">
      <c r="B7" s="32">
        <v>661892286</v>
      </c>
      <c r="D7" s="12"/>
      <c r="E7" s="25" t="s">
        <v>19</v>
      </c>
      <c r="F7" s="37">
        <v>16</v>
      </c>
      <c r="G7" s="19">
        <v>4</v>
      </c>
      <c r="H7" s="37">
        <f>IFERROR(Facture[[#This Row],[Prix]]*Facture[[#This Row],[Quantité]], "")</f>
        <v>64</v>
      </c>
    </row>
    <row r="8" spans="2:8" ht="31.5" customHeight="1">
      <c r="B8" s="33" t="s">
        <v>11</v>
      </c>
      <c r="D8" s="12"/>
      <c r="E8" s="25" t="s">
        <v>20</v>
      </c>
      <c r="F8" s="37"/>
      <c r="G8" s="19"/>
      <c r="H8" s="37">
        <f>IFERROR(Facture[[#This Row],[Prix]]*Facture[[#This Row],[Quantité]], "")</f>
        <v>0</v>
      </c>
    </row>
    <row r="9" spans="2:8" ht="31.5" customHeight="1">
      <c r="B9" s="14"/>
      <c r="D9" s="20" t="s">
        <v>36</v>
      </c>
      <c r="E9" s="25" t="s">
        <v>21</v>
      </c>
      <c r="F9" s="37">
        <v>15.15</v>
      </c>
      <c r="G9" s="19">
        <v>1</v>
      </c>
      <c r="H9" s="37">
        <f>IFERROR(Facture[[#This Row],[Prix]]*Facture[[#This Row],[Quantité]], "")</f>
        <v>15.15</v>
      </c>
    </row>
    <row r="10" spans="2:8" ht="31.5" customHeight="1">
      <c r="B10" s="14"/>
      <c r="D10" s="20"/>
      <c r="E10" s="25" t="s">
        <v>22</v>
      </c>
      <c r="F10" s="37">
        <v>14.8</v>
      </c>
      <c r="G10" s="19">
        <v>10</v>
      </c>
      <c r="H10" s="37">
        <f>IFERROR(Facture[[#This Row],[Prix]]*Facture[[#This Row],[Quantité]], "")</f>
        <v>148</v>
      </c>
    </row>
    <row r="11" spans="2:8" s="5" customFormat="1" ht="31.5" customHeight="1">
      <c r="B11" s="14"/>
      <c r="D11" s="20"/>
      <c r="E11" s="25" t="s">
        <v>23</v>
      </c>
      <c r="F11" s="37">
        <v>14</v>
      </c>
      <c r="G11" s="19">
        <v>5</v>
      </c>
      <c r="H11" s="37">
        <f>IFERROR(Facture[[#This Row],[Prix]]*Facture[[#This Row],[Quantité]], "")</f>
        <v>70</v>
      </c>
    </row>
    <row r="12" spans="2:8" s="2" customFormat="1" ht="31.5" customHeight="1">
      <c r="B12" s="14"/>
      <c r="C12"/>
      <c r="D12" s="20"/>
      <c r="E12" s="25" t="s">
        <v>24</v>
      </c>
      <c r="F12" s="37">
        <v>14</v>
      </c>
      <c r="G12" s="19">
        <v>4</v>
      </c>
      <c r="H12" s="37">
        <f>IFERROR(Facture[[#This Row],[Prix]]*Facture[[#This Row],[Quantité]], "")</f>
        <v>56</v>
      </c>
    </row>
    <row r="13" spans="2:8" ht="31.5" customHeight="1">
      <c r="B13" s="15"/>
      <c r="D13" s="20" t="s">
        <v>37</v>
      </c>
      <c r="E13" s="25" t="s">
        <v>26</v>
      </c>
      <c r="F13" s="37">
        <v>10.6</v>
      </c>
      <c r="G13" s="19">
        <v>1</v>
      </c>
      <c r="H13" s="37">
        <f>IFERROR(Facture[[#This Row],[Prix]]*Facture[[#This Row],[Quantité]], "")</f>
        <v>10.6</v>
      </c>
    </row>
    <row r="14" spans="2:8" ht="31.5" customHeight="1" thickBot="1">
      <c r="B14" s="18"/>
      <c r="D14" s="20"/>
      <c r="E14" s="25" t="s">
        <v>27</v>
      </c>
      <c r="F14" s="37">
        <v>10.4</v>
      </c>
      <c r="G14" s="19">
        <v>13</v>
      </c>
      <c r="H14" s="37">
        <f>IFERROR(Facture[[#This Row],[Prix]]*Facture[[#This Row],[Quantité]], "")</f>
        <v>135.20000000000002</v>
      </c>
    </row>
    <row r="15" spans="2:8" ht="31.5" customHeight="1" thickTop="1">
      <c r="B15" s="17"/>
      <c r="D15" s="20" t="s">
        <v>38</v>
      </c>
      <c r="E15" s="25" t="s">
        <v>28</v>
      </c>
      <c r="F15" s="37">
        <v>7.2</v>
      </c>
      <c r="G15" s="19">
        <v>8</v>
      </c>
      <c r="H15" s="37">
        <f>IFERROR(Facture[[#This Row],[Prix]]*Facture[[#This Row],[Quantité]], "")</f>
        <v>57.6</v>
      </c>
    </row>
    <row r="16" spans="2:8" ht="31.5" customHeight="1">
      <c r="B16" s="14"/>
      <c r="D16" s="20"/>
      <c r="E16" s="25" t="s">
        <v>29</v>
      </c>
      <c r="F16" s="37">
        <v>7.1</v>
      </c>
      <c r="G16" s="19">
        <v>4</v>
      </c>
      <c r="H16" s="37">
        <f>IFERROR(Facture[[#This Row],[Prix]]*Facture[[#This Row],[Quantité]], "")</f>
        <v>28.4</v>
      </c>
    </row>
    <row r="17" spans="2:8" ht="31.5" customHeight="1">
      <c r="B17" s="49"/>
      <c r="D17" s="20"/>
      <c r="E17" s="25" t="s">
        <v>30</v>
      </c>
      <c r="F17" s="37">
        <v>10.4</v>
      </c>
      <c r="G17" s="19">
        <v>12</v>
      </c>
      <c r="H17" s="37">
        <f>IFERROR(Facture[[#This Row],[Prix]]*Facture[[#This Row],[Quantité]], "")</f>
        <v>124.80000000000001</v>
      </c>
    </row>
    <row r="18" spans="2:8" ht="31.5" customHeight="1">
      <c r="B18" s="49"/>
      <c r="D18" s="20"/>
      <c r="E18" s="25" t="s">
        <v>31</v>
      </c>
      <c r="F18" s="37">
        <v>7.45</v>
      </c>
      <c r="G18" s="19">
        <v>2</v>
      </c>
      <c r="H18" s="37">
        <f>IFERROR(Facture[[#This Row],[Prix]]*Facture[[#This Row],[Quantité]], "")</f>
        <v>14.9</v>
      </c>
    </row>
    <row r="19" spans="2:8" s="4" customFormat="1" ht="31.5" customHeight="1">
      <c r="B19" s="14"/>
      <c r="D19" s="20" t="s">
        <v>34</v>
      </c>
      <c r="E19" s="25" t="s">
        <v>32</v>
      </c>
      <c r="F19" s="37">
        <v>8.6999999999999993</v>
      </c>
      <c r="G19" s="19">
        <v>7</v>
      </c>
      <c r="H19" s="37">
        <f>IFERROR(Facture[[#This Row],[Prix]]*Facture[[#This Row],[Quantité]], "")</f>
        <v>60.899999999999991</v>
      </c>
    </row>
    <row r="20" spans="2:8" s="4" customFormat="1" ht="31.5" customHeight="1">
      <c r="B20" s="15"/>
      <c r="C20" s="13"/>
      <c r="D20" s="20"/>
      <c r="E20" s="38" t="s">
        <v>137</v>
      </c>
      <c r="F20" s="44">
        <v>8.6999999999999993</v>
      </c>
      <c r="G20" s="39">
        <v>2</v>
      </c>
      <c r="H20" s="41">
        <f>IFERROR(Facture[[#This Row],[Prix]]*Facture[[#This Row],[Quantité]], "")</f>
        <v>17.399999999999999</v>
      </c>
    </row>
    <row r="21" spans="2:8" ht="31.5" customHeight="1">
      <c r="B21" s="14"/>
      <c r="D21" s="21" t="s">
        <v>51</v>
      </c>
      <c r="E21" s="25" t="s">
        <v>135</v>
      </c>
      <c r="F21" s="37">
        <v>15</v>
      </c>
      <c r="G21" s="19">
        <v>11</v>
      </c>
      <c r="H21" s="37">
        <f>IFERROR(Facture[[#This Row],[Prix]]*Facture[[#This Row],[Quantité]], "")</f>
        <v>165</v>
      </c>
    </row>
    <row r="22" spans="2:8" ht="31.5" customHeight="1">
      <c r="D22" s="23" t="s">
        <v>33</v>
      </c>
      <c r="E22" s="25" t="s">
        <v>19</v>
      </c>
      <c r="F22" s="37">
        <v>11</v>
      </c>
      <c r="G22" s="19">
        <v>6</v>
      </c>
      <c r="H22" s="37">
        <f>IFERROR(Facture[[#This Row],[Prix]]*Facture[[#This Row],[Quantité]], "")</f>
        <v>66</v>
      </c>
    </row>
    <row r="23" spans="2:8" ht="31.5" customHeight="1">
      <c r="D23" s="23"/>
      <c r="E23" s="38" t="s">
        <v>55</v>
      </c>
      <c r="F23" s="44">
        <v>11</v>
      </c>
      <c r="G23" s="39">
        <v>5</v>
      </c>
      <c r="H23" s="41">
        <f>IFERROR(Facture[[#This Row],[Prix]]*Facture[[#This Row],[Quantité]], "")</f>
        <v>55</v>
      </c>
    </row>
    <row r="24" spans="2:8" ht="31.5" customHeight="1">
      <c r="D24" s="23"/>
      <c r="E24" s="25" t="s">
        <v>20</v>
      </c>
      <c r="F24" s="37"/>
      <c r="G24" s="19"/>
      <c r="H24" s="37">
        <f>IFERROR(Facture[[#This Row],[Prix]]*Facture[[#This Row],[Quantité]], "")</f>
        <v>0</v>
      </c>
    </row>
    <row r="25" spans="2:8" ht="31.5" customHeight="1">
      <c r="D25" s="23" t="s">
        <v>39</v>
      </c>
      <c r="E25" s="25" t="s">
        <v>40</v>
      </c>
      <c r="F25" s="37">
        <v>17.8</v>
      </c>
      <c r="G25" s="19">
        <v>18</v>
      </c>
      <c r="H25" s="37">
        <f>IFERROR(Facture[[#This Row],[Prix]]*Facture[[#This Row],[Quantité]], "")</f>
        <v>320.40000000000003</v>
      </c>
    </row>
    <row r="26" spans="2:8" ht="31.5" customHeight="1">
      <c r="D26" s="23"/>
      <c r="E26" s="25" t="s">
        <v>41</v>
      </c>
      <c r="F26" s="37">
        <v>17.8</v>
      </c>
      <c r="G26" s="19">
        <v>4</v>
      </c>
      <c r="H26" s="37">
        <f>IFERROR(Facture[[#This Row],[Prix]]*Facture[[#This Row],[Quantité]], "")</f>
        <v>71.2</v>
      </c>
    </row>
    <row r="27" spans="2:8" ht="31.5" customHeight="1">
      <c r="D27" s="23"/>
      <c r="E27" s="25" t="s">
        <v>21</v>
      </c>
      <c r="F27" s="37"/>
      <c r="G27" s="19"/>
      <c r="H27" s="37">
        <f>IFERROR(Facture[[#This Row],[Prix]]*Facture[[#This Row],[Quantité]], "")</f>
        <v>0</v>
      </c>
    </row>
    <row r="28" spans="2:8" ht="31.5" customHeight="1">
      <c r="D28" s="23" t="s">
        <v>42</v>
      </c>
      <c r="E28" s="25" t="s">
        <v>43</v>
      </c>
      <c r="F28" s="37">
        <v>13.45</v>
      </c>
      <c r="G28" s="19">
        <v>10</v>
      </c>
      <c r="H28" s="37">
        <f>IFERROR(Facture[[#This Row],[Prix]]*Facture[[#This Row],[Quantité]], "")</f>
        <v>134.5</v>
      </c>
    </row>
    <row r="29" spans="2:8" ht="31.5" customHeight="1">
      <c r="D29" s="23" t="s">
        <v>44</v>
      </c>
      <c r="E29" s="25" t="s">
        <v>45</v>
      </c>
      <c r="F29" s="37"/>
      <c r="G29" s="19"/>
      <c r="H29" s="37">
        <f>IFERROR(Facture[[#This Row],[Prix]]*Facture[[#This Row],[Quantité]], "")</f>
        <v>0</v>
      </c>
    </row>
    <row r="30" spans="2:8" ht="31.5" customHeight="1">
      <c r="D30" s="23"/>
      <c r="E30" s="25" t="s">
        <v>46</v>
      </c>
      <c r="F30" s="37">
        <v>9.6</v>
      </c>
      <c r="G30" s="19">
        <v>7</v>
      </c>
      <c r="H30" s="37">
        <f>IFERROR(Facture[[#This Row],[Prix]]*Facture[[#This Row],[Quantité]], "")</f>
        <v>67.2</v>
      </c>
    </row>
    <row r="31" spans="2:8" ht="31.5" customHeight="1">
      <c r="D31" s="23"/>
      <c r="E31" s="25" t="s">
        <v>30</v>
      </c>
      <c r="F31" s="37"/>
      <c r="G31" s="19"/>
      <c r="H31" s="37">
        <f>IFERROR(Facture[[#This Row],[Prix]]*Facture[[#This Row],[Quantité]], "")</f>
        <v>0</v>
      </c>
    </row>
    <row r="32" spans="2:8" ht="31.5" customHeight="1">
      <c r="D32" s="23" t="s">
        <v>48</v>
      </c>
      <c r="E32" s="25" t="s">
        <v>47</v>
      </c>
      <c r="F32" s="37">
        <v>10.4</v>
      </c>
      <c r="G32" s="19">
        <v>5</v>
      </c>
      <c r="H32" s="37">
        <f>IFERROR(Facture[[#This Row],[Prix]]*Facture[[#This Row],[Quantité]], "")</f>
        <v>52</v>
      </c>
    </row>
    <row r="33" spans="4:8" ht="31.5" customHeight="1">
      <c r="D33" s="23"/>
      <c r="E33" s="25" t="s">
        <v>49</v>
      </c>
      <c r="F33" s="37"/>
      <c r="G33" s="19"/>
      <c r="H33" s="37">
        <f>IFERROR(Facture[[#This Row],[Prix]]*Facture[[#This Row],[Quantité]], "")</f>
        <v>0</v>
      </c>
    </row>
    <row r="34" spans="4:8" ht="31.5" customHeight="1">
      <c r="D34" s="23" t="s">
        <v>50</v>
      </c>
      <c r="E34" s="25" t="s">
        <v>52</v>
      </c>
      <c r="F34" s="37">
        <v>9.5</v>
      </c>
      <c r="G34" s="19">
        <v>8</v>
      </c>
      <c r="H34" s="37">
        <f>IFERROR(Facture[[#This Row],[Prix]]*Facture[[#This Row],[Quantité]], "")</f>
        <v>76</v>
      </c>
    </row>
    <row r="35" spans="4:8" ht="31.5" customHeight="1">
      <c r="D35" s="24" t="s">
        <v>53</v>
      </c>
      <c r="E35" s="25" t="s">
        <v>54</v>
      </c>
      <c r="F35" s="37">
        <v>9.6</v>
      </c>
      <c r="G35" s="19">
        <v>1</v>
      </c>
      <c r="H35" s="37">
        <f>IFERROR(Facture[[#This Row],[Prix]]*Facture[[#This Row],[Quantité]], "")</f>
        <v>9.6</v>
      </c>
    </row>
    <row r="36" spans="4:8" ht="31.5" customHeight="1">
      <c r="D36" s="24"/>
      <c r="E36" s="25" t="s">
        <v>55</v>
      </c>
      <c r="F36" s="37">
        <v>9.6</v>
      </c>
      <c r="G36" s="19">
        <v>4</v>
      </c>
      <c r="H36" s="37">
        <f>IFERROR(Facture[[#This Row],[Prix]]*Facture[[#This Row],[Quantité]], "")</f>
        <v>38.4</v>
      </c>
    </row>
    <row r="37" spans="4:8" ht="31.5" customHeight="1">
      <c r="D37" s="24"/>
      <c r="E37" s="25" t="s">
        <v>136</v>
      </c>
      <c r="F37" s="37">
        <v>9.6</v>
      </c>
      <c r="G37" s="19">
        <v>2</v>
      </c>
      <c r="H37" s="37">
        <f>IFERROR(Facture[[#This Row],[Prix]]*Facture[[#This Row],[Quantité]], "")</f>
        <v>19.2</v>
      </c>
    </row>
    <row r="38" spans="4:8" ht="31.5" customHeight="1">
      <c r="D38" s="24" t="s">
        <v>56</v>
      </c>
      <c r="E38" s="25" t="s">
        <v>22</v>
      </c>
      <c r="F38" s="37">
        <v>23.05</v>
      </c>
      <c r="G38" s="19">
        <v>4</v>
      </c>
      <c r="H38" s="37">
        <f>IFERROR(Facture[[#This Row],[Prix]]*Facture[[#This Row],[Quantité]], "")</f>
        <v>92.2</v>
      </c>
    </row>
    <row r="39" spans="4:8" ht="31.5" customHeight="1">
      <c r="D39" s="24" t="s">
        <v>57</v>
      </c>
      <c r="E39" s="25" t="s">
        <v>58</v>
      </c>
      <c r="F39" s="37"/>
      <c r="G39" s="19"/>
      <c r="H39" s="37">
        <f>IFERROR(Facture[[#This Row],[Prix]]*Facture[[#This Row],[Quantité]], "")</f>
        <v>0</v>
      </c>
    </row>
    <row r="40" spans="4:8" ht="31.5" customHeight="1">
      <c r="D40" s="24" t="s">
        <v>59</v>
      </c>
      <c r="E40" s="25" t="s">
        <v>31</v>
      </c>
      <c r="F40" s="37">
        <v>11.05</v>
      </c>
      <c r="G40" s="19">
        <v>7</v>
      </c>
      <c r="H40" s="37">
        <f>IFERROR(Facture[[#This Row],[Prix]]*Facture[[#This Row],[Quantité]], "")</f>
        <v>77.350000000000009</v>
      </c>
    </row>
    <row r="41" spans="4:8" ht="31.5" customHeight="1">
      <c r="D41" s="24"/>
      <c r="E41" s="25" t="s">
        <v>60</v>
      </c>
      <c r="F41" s="37"/>
      <c r="G41" s="19"/>
      <c r="H41" s="37">
        <f>IFERROR(Facture[[#This Row],[Prix]]*Facture[[#This Row],[Quantité]], "")</f>
        <v>0</v>
      </c>
    </row>
    <row r="42" spans="4:8" ht="31.5" customHeight="1">
      <c r="D42" s="24" t="s">
        <v>62</v>
      </c>
      <c r="E42" s="25" t="s">
        <v>61</v>
      </c>
      <c r="F42" s="37">
        <v>10.15</v>
      </c>
      <c r="G42" s="19">
        <v>5</v>
      </c>
      <c r="H42" s="37">
        <f>IFERROR(Facture[[#This Row],[Prix]]*Facture[[#This Row],[Quantité]], "")</f>
        <v>50.75</v>
      </c>
    </row>
    <row r="43" spans="4:8" ht="31.5" customHeight="1">
      <c r="D43" s="24"/>
      <c r="E43" s="25" t="s">
        <v>63</v>
      </c>
      <c r="F43" s="37"/>
      <c r="G43" s="19"/>
      <c r="H43" s="37">
        <f>IFERROR(Facture[[#This Row],[Prix]]*Facture[[#This Row],[Quantité]], "")</f>
        <v>0</v>
      </c>
    </row>
    <row r="44" spans="4:8" ht="31.5" customHeight="1">
      <c r="D44" s="24" t="s">
        <v>65</v>
      </c>
      <c r="E44" s="25" t="s">
        <v>64</v>
      </c>
      <c r="F44" s="37"/>
      <c r="G44" s="19"/>
      <c r="H44" s="37">
        <f>IFERROR(Facture[[#This Row],[Prix]]*Facture[[#This Row],[Quantité]], "")</f>
        <v>0</v>
      </c>
    </row>
    <row r="45" spans="4:8" ht="31.5" customHeight="1">
      <c r="D45" s="26" t="s">
        <v>66</v>
      </c>
      <c r="E45" s="25" t="s">
        <v>18</v>
      </c>
      <c r="F45" s="37">
        <v>11</v>
      </c>
      <c r="G45" s="19">
        <v>5</v>
      </c>
      <c r="H45" s="37">
        <f>IFERROR(Facture[[#This Row],[Prix]]*Facture[[#This Row],[Quantité]], "")</f>
        <v>55</v>
      </c>
    </row>
    <row r="46" spans="4:8" ht="31.5" customHeight="1">
      <c r="D46" s="26"/>
      <c r="E46" s="25" t="s">
        <v>20</v>
      </c>
      <c r="F46" s="37">
        <v>14</v>
      </c>
      <c r="G46" s="19">
        <v>2</v>
      </c>
      <c r="H46" s="37">
        <f>IFERROR(Facture[[#This Row],[Prix]]*Facture[[#This Row],[Quantité]], "")</f>
        <v>28</v>
      </c>
    </row>
    <row r="47" spans="4:8" ht="31.5" customHeight="1">
      <c r="D47" s="26" t="s">
        <v>67</v>
      </c>
      <c r="E47" s="25" t="s">
        <v>22</v>
      </c>
      <c r="F47" s="37">
        <v>23.5</v>
      </c>
      <c r="G47" s="19">
        <v>6</v>
      </c>
      <c r="H47" s="37">
        <f>IFERROR(Facture[[#This Row],[Prix]]*Facture[[#This Row],[Quantité]], "")</f>
        <v>141</v>
      </c>
    </row>
    <row r="48" spans="4:8" ht="31.5" customHeight="1">
      <c r="D48" s="26"/>
      <c r="E48" s="38" t="s">
        <v>177</v>
      </c>
      <c r="F48" s="44">
        <v>23.5</v>
      </c>
      <c r="G48" s="39">
        <v>4</v>
      </c>
      <c r="H48" s="41">
        <f>IFERROR(Facture[[#This Row],[Prix]]*Facture[[#This Row],[Quantité]], "")</f>
        <v>94</v>
      </c>
    </row>
    <row r="49" spans="4:8" ht="31.5" customHeight="1">
      <c r="D49" s="26"/>
      <c r="E49" s="25" t="s">
        <v>68</v>
      </c>
      <c r="F49" s="37">
        <v>23.5</v>
      </c>
      <c r="G49" s="19">
        <v>5</v>
      </c>
      <c r="H49" s="37">
        <f>IFERROR(Facture[[#This Row],[Prix]]*Facture[[#This Row],[Quantité]], "")</f>
        <v>117.5</v>
      </c>
    </row>
    <row r="50" spans="4:8" ht="31.5" customHeight="1">
      <c r="D50" s="26" t="s">
        <v>69</v>
      </c>
      <c r="E50" s="25" t="s">
        <v>26</v>
      </c>
      <c r="F50" s="37">
        <v>12.6</v>
      </c>
      <c r="G50" s="19">
        <v>13</v>
      </c>
      <c r="H50" s="37">
        <f>IFERROR(Facture[[#This Row],[Prix]]*Facture[[#This Row],[Quantité]], "")</f>
        <v>163.79999999999998</v>
      </c>
    </row>
    <row r="51" spans="4:8" ht="31.5" customHeight="1">
      <c r="D51" s="26" t="s">
        <v>70</v>
      </c>
      <c r="E51" s="25" t="s">
        <v>30</v>
      </c>
      <c r="F51" s="37">
        <v>10.55</v>
      </c>
      <c r="G51" s="19">
        <v>12</v>
      </c>
      <c r="H51" s="37">
        <f>IFERROR(Facture[[#This Row],[Prix]]*Facture[[#This Row],[Quantité]], "")</f>
        <v>126.60000000000001</v>
      </c>
    </row>
    <row r="52" spans="4:8" ht="31.5" customHeight="1">
      <c r="D52" s="26"/>
      <c r="E52" s="25" t="s">
        <v>46</v>
      </c>
      <c r="F52" s="37"/>
      <c r="G52" s="19"/>
      <c r="H52" s="37">
        <f>IFERROR(Facture[[#This Row],[Prix]]*Facture[[#This Row],[Quantité]], "")</f>
        <v>0</v>
      </c>
    </row>
    <row r="53" spans="4:8" ht="31.5" customHeight="1">
      <c r="D53" s="26"/>
      <c r="E53" s="25" t="s">
        <v>71</v>
      </c>
      <c r="F53" s="37"/>
      <c r="G53" s="19"/>
      <c r="H53" s="37">
        <f>IFERROR(Facture[[#This Row],[Prix]]*Facture[[#This Row],[Quantité]], "")</f>
        <v>0</v>
      </c>
    </row>
    <row r="54" spans="4:8" ht="31.5" customHeight="1">
      <c r="D54" s="26" t="s">
        <v>72</v>
      </c>
      <c r="E54" s="25" t="s">
        <v>73</v>
      </c>
      <c r="F54" s="37">
        <v>10.4</v>
      </c>
      <c r="G54" s="19">
        <v>6</v>
      </c>
      <c r="H54" s="37">
        <f>IFERROR(Facture[[#This Row],[Prix]]*Facture[[#This Row],[Quantité]], "")</f>
        <v>62.400000000000006</v>
      </c>
    </row>
    <row r="55" spans="4:8" ht="31.5" customHeight="1">
      <c r="D55" s="26"/>
      <c r="E55" s="25" t="s">
        <v>74</v>
      </c>
      <c r="F55" s="37">
        <v>10.4</v>
      </c>
      <c r="G55" s="19">
        <v>6</v>
      </c>
      <c r="H55" s="37">
        <f>IFERROR(Facture[[#This Row],[Prix]]*Facture[[#This Row],[Quantité]], "")</f>
        <v>62.400000000000006</v>
      </c>
    </row>
    <row r="56" spans="4:8" ht="31.5" customHeight="1">
      <c r="D56" s="26" t="s">
        <v>76</v>
      </c>
      <c r="E56" s="25" t="s">
        <v>75</v>
      </c>
      <c r="F56" s="37">
        <v>11.75</v>
      </c>
      <c r="G56" s="19">
        <v>5</v>
      </c>
      <c r="H56" s="37">
        <f>IFERROR(Facture[[#This Row],[Prix]]*Facture[[#This Row],[Quantité]], "")</f>
        <v>58.75</v>
      </c>
    </row>
    <row r="57" spans="4:8" ht="31.5" customHeight="1">
      <c r="D57" s="26"/>
      <c r="E57" s="25" t="s">
        <v>77</v>
      </c>
      <c r="F57" s="37">
        <v>11.75</v>
      </c>
      <c r="G57" s="19">
        <v>3</v>
      </c>
      <c r="H57" s="37">
        <f>IFERROR(Facture[[#This Row],[Prix]]*Facture[[#This Row],[Quantité]], "")</f>
        <v>35.25</v>
      </c>
    </row>
    <row r="58" spans="4:8" ht="31.5" customHeight="1">
      <c r="D58" s="26" t="s">
        <v>78</v>
      </c>
      <c r="E58" s="25" t="s">
        <v>52</v>
      </c>
      <c r="F58" s="37"/>
      <c r="G58" s="19"/>
      <c r="H58" s="37">
        <f>IFERROR(Facture[[#This Row],[Prix]]*Facture[[#This Row],[Quantité]], "")</f>
        <v>0</v>
      </c>
    </row>
    <row r="59" spans="4:8" ht="31.5" customHeight="1">
      <c r="D59" s="12"/>
      <c r="E59" s="25" t="s">
        <v>79</v>
      </c>
      <c r="F59" s="37"/>
      <c r="G59" s="19"/>
      <c r="H59" s="37">
        <f>IFERROR(Facture[[#This Row],[Prix]]*Facture[[#This Row],[Quantité]], "")</f>
        <v>0</v>
      </c>
    </row>
    <row r="60" spans="4:8" ht="31.5" customHeight="1">
      <c r="D60" s="27" t="s">
        <v>80</v>
      </c>
      <c r="E60" s="25" t="s">
        <v>138</v>
      </c>
      <c r="F60" s="37">
        <v>9.6</v>
      </c>
      <c r="G60" s="19">
        <v>13</v>
      </c>
      <c r="H60" s="37">
        <f>IFERROR(Facture[[#This Row],[Prix]]*Facture[[#This Row],[Quantité]], "")</f>
        <v>124.8</v>
      </c>
    </row>
    <row r="61" spans="4:8" ht="31.5" customHeight="1">
      <c r="D61" s="27"/>
      <c r="E61" s="25" t="s">
        <v>20</v>
      </c>
      <c r="F61" s="37"/>
      <c r="G61" s="19"/>
      <c r="H61" s="37">
        <f>IFERROR(Facture[[#This Row],[Prix]]*Facture[[#This Row],[Quantité]], "")</f>
        <v>0</v>
      </c>
    </row>
    <row r="62" spans="4:8" ht="31.5" customHeight="1">
      <c r="D62" s="27" t="s">
        <v>81</v>
      </c>
      <c r="E62" s="25" t="s">
        <v>141</v>
      </c>
      <c r="F62" s="37">
        <v>24.7</v>
      </c>
      <c r="G62" s="19">
        <v>4</v>
      </c>
      <c r="H62" s="37">
        <f>IFERROR(Facture[[#This Row],[Prix]]*Facture[[#This Row],[Quantité]], "")</f>
        <v>98.8</v>
      </c>
    </row>
    <row r="63" spans="4:8" ht="31.5" customHeight="1">
      <c r="D63" s="27" t="s">
        <v>82</v>
      </c>
      <c r="E63" s="25" t="s">
        <v>26</v>
      </c>
      <c r="F63" s="37">
        <v>15.1</v>
      </c>
      <c r="G63" s="19">
        <v>10</v>
      </c>
      <c r="H63" s="37">
        <f>IFERROR(Facture[[#This Row],[Prix]]*Facture[[#This Row],[Quantité]], "")</f>
        <v>151</v>
      </c>
    </row>
    <row r="64" spans="4:8" ht="31.5" customHeight="1">
      <c r="D64" s="27" t="s">
        <v>83</v>
      </c>
      <c r="E64" s="25" t="s">
        <v>139</v>
      </c>
      <c r="F64" s="37">
        <v>11.05</v>
      </c>
      <c r="G64" s="19">
        <v>22</v>
      </c>
      <c r="H64" s="37">
        <f>IFERROR(Facture[[#This Row],[Prix]]*Facture[[#This Row],[Quantité]], "")</f>
        <v>243.10000000000002</v>
      </c>
    </row>
    <row r="65" spans="4:8" ht="31.5" customHeight="1">
      <c r="D65" s="27" t="s">
        <v>84</v>
      </c>
      <c r="E65" s="25" t="s">
        <v>47</v>
      </c>
      <c r="F65" s="37">
        <v>15.15</v>
      </c>
      <c r="G65" s="19">
        <v>16</v>
      </c>
      <c r="H65" s="37">
        <f>IFERROR(Facture[[#This Row],[Prix]]*Facture[[#This Row],[Quantité]], "")</f>
        <v>242.4</v>
      </c>
    </row>
    <row r="66" spans="4:8" ht="31.5" customHeight="1">
      <c r="D66" s="27" t="s">
        <v>85</v>
      </c>
      <c r="E66" s="25" t="s">
        <v>140</v>
      </c>
      <c r="F66" s="37">
        <v>16.8</v>
      </c>
      <c r="G66" s="19">
        <v>9</v>
      </c>
      <c r="H66" s="37">
        <f>IFERROR(Facture[[#This Row],[Prix]]*Facture[[#This Row],[Quantité]], "")</f>
        <v>151.20000000000002</v>
      </c>
    </row>
    <row r="67" spans="4:8" ht="31.5" customHeight="1">
      <c r="D67" s="27" t="s">
        <v>86</v>
      </c>
      <c r="E67" s="25" t="s">
        <v>79</v>
      </c>
      <c r="F67" s="37">
        <v>21.5</v>
      </c>
      <c r="G67" s="19">
        <v>8</v>
      </c>
      <c r="H67" s="37">
        <f>IFERROR(Facture[[#This Row],[Prix]]*Facture[[#This Row],[Quantité]], "")</f>
        <v>172</v>
      </c>
    </row>
    <row r="68" spans="4:8" ht="31.5" customHeight="1">
      <c r="D68" s="28" t="s">
        <v>88</v>
      </c>
      <c r="E68" s="25" t="s">
        <v>19</v>
      </c>
      <c r="F68" s="37">
        <v>11.5</v>
      </c>
      <c r="G68" s="19">
        <v>10</v>
      </c>
      <c r="H68" s="37">
        <f>IFERROR(Facture[[#This Row],[Prix]]*Facture[[#This Row],[Quantité]], "")</f>
        <v>115</v>
      </c>
    </row>
    <row r="69" spans="4:8" ht="31.5" customHeight="1">
      <c r="D69" s="28"/>
      <c r="E69" s="25" t="s">
        <v>20</v>
      </c>
      <c r="F69" s="37"/>
      <c r="G69" s="19"/>
      <c r="H69" s="37">
        <f>IFERROR(Facture[[#This Row],[Prix]]*Facture[[#This Row],[Quantité]], "")</f>
        <v>0</v>
      </c>
    </row>
    <row r="70" spans="4:8" ht="31.5" customHeight="1">
      <c r="D70" s="28" t="s">
        <v>90</v>
      </c>
      <c r="E70" s="25" t="s">
        <v>89</v>
      </c>
      <c r="F70" s="37">
        <v>25.2</v>
      </c>
      <c r="G70" s="19">
        <v>2</v>
      </c>
      <c r="H70" s="37">
        <f>IFERROR(Facture[[#This Row],[Prix]]*Facture[[#This Row],[Quantité]], "")</f>
        <v>50.4</v>
      </c>
    </row>
    <row r="71" spans="4:8" ht="31.5" customHeight="1">
      <c r="D71" s="28" t="s">
        <v>91</v>
      </c>
      <c r="E71" s="25" t="s">
        <v>92</v>
      </c>
      <c r="F71" s="37">
        <v>14.3</v>
      </c>
      <c r="G71" s="19">
        <v>8</v>
      </c>
      <c r="H71" s="37">
        <f>IFERROR(Facture[[#This Row],[Prix]]*Facture[[#This Row],[Quantité]], "")</f>
        <v>114.4</v>
      </c>
    </row>
    <row r="72" spans="4:8" ht="31.5" customHeight="1">
      <c r="D72" s="28" t="s">
        <v>95</v>
      </c>
      <c r="E72" s="25" t="s">
        <v>30</v>
      </c>
      <c r="F72" s="37">
        <v>10.6</v>
      </c>
      <c r="G72" s="19">
        <v>3</v>
      </c>
      <c r="H72" s="37">
        <f>IFERROR(Facture[[#This Row],[Prix]]*Facture[[#This Row],[Quantité]], "")</f>
        <v>31.799999999999997</v>
      </c>
    </row>
    <row r="73" spans="4:8" ht="31.5" customHeight="1">
      <c r="D73" s="28" t="s">
        <v>93</v>
      </c>
      <c r="E73" s="25" t="s">
        <v>94</v>
      </c>
      <c r="F73" s="37">
        <v>16</v>
      </c>
      <c r="G73" s="19">
        <v>7</v>
      </c>
      <c r="H73" s="37">
        <f>IFERROR(Facture[[#This Row],[Prix]]*Facture[[#This Row],[Quantité]], "")</f>
        <v>112</v>
      </c>
    </row>
    <row r="74" spans="4:8" ht="31.5" customHeight="1">
      <c r="D74" s="28" t="s">
        <v>96</v>
      </c>
      <c r="E74" s="25" t="s">
        <v>75</v>
      </c>
      <c r="F74" s="37">
        <v>18.5</v>
      </c>
      <c r="G74" s="19">
        <v>9</v>
      </c>
      <c r="H74" s="37">
        <f>IFERROR(Facture[[#This Row],[Prix]]*Facture[[#This Row],[Quantité]], "")</f>
        <v>166.5</v>
      </c>
    </row>
    <row r="75" spans="4:8" ht="31.5" customHeight="1">
      <c r="D75" s="28" t="s">
        <v>97</v>
      </c>
      <c r="E75" s="25" t="s">
        <v>87</v>
      </c>
      <c r="F75" s="37">
        <v>21.8</v>
      </c>
      <c r="G75" s="19">
        <v>5</v>
      </c>
      <c r="H75" s="37">
        <f>IFERROR(Facture[[#This Row],[Prix]]*Facture[[#This Row],[Quantité]], "")</f>
        <v>109</v>
      </c>
    </row>
    <row r="76" spans="4:8" ht="31.5" customHeight="1">
      <c r="D76" s="28"/>
      <c r="E76" s="38" t="s">
        <v>142</v>
      </c>
      <c r="F76" s="44">
        <v>28</v>
      </c>
      <c r="G76" s="39">
        <v>4</v>
      </c>
      <c r="H76" s="41">
        <f>IFERROR(Facture[[#This Row],[Prix]]*Facture[[#This Row],[Quantité]], "")</f>
        <v>112</v>
      </c>
    </row>
    <row r="77" spans="4:8" ht="31.5" customHeight="1">
      <c r="D77" s="28"/>
      <c r="E77" s="38" t="s">
        <v>143</v>
      </c>
      <c r="F77" s="44">
        <v>21.8</v>
      </c>
      <c r="G77" s="39">
        <v>3</v>
      </c>
      <c r="H77" s="41">
        <f>IFERROR(Facture[[#This Row],[Prix]]*Facture[[#This Row],[Quantité]], "")</f>
        <v>65.400000000000006</v>
      </c>
    </row>
    <row r="78" spans="4:8" ht="31.5" customHeight="1">
      <c r="D78" s="12"/>
      <c r="E78" s="25" t="s">
        <v>98</v>
      </c>
      <c r="F78" s="37">
        <v>21.8</v>
      </c>
      <c r="G78" s="19">
        <v>2</v>
      </c>
      <c r="H78" s="37">
        <f>IFERROR(Facture[[#This Row],[Prix]]*Facture[[#This Row],[Quantité]], "")</f>
        <v>43.6</v>
      </c>
    </row>
    <row r="79" spans="4:8" ht="31.5" customHeight="1">
      <c r="D79" s="29" t="s">
        <v>13</v>
      </c>
      <c r="E79" s="25" t="s">
        <v>145</v>
      </c>
      <c r="F79" s="37">
        <v>15.35</v>
      </c>
      <c r="G79" s="19">
        <v>2</v>
      </c>
      <c r="H79" s="37">
        <f>IFERROR(Facture[[#This Row],[Prix]]*Facture[[#This Row],[Quantité]], "")</f>
        <v>30.7</v>
      </c>
    </row>
    <row r="80" spans="4:8" ht="31.5" customHeight="1">
      <c r="D80" s="29" t="s">
        <v>16</v>
      </c>
      <c r="E80" s="25" t="s">
        <v>99</v>
      </c>
      <c r="F80" s="37">
        <v>21.1</v>
      </c>
      <c r="G80" s="19">
        <v>7</v>
      </c>
      <c r="H80" s="37">
        <f>IFERROR(Facture[[#This Row],[Prix]]*Facture[[#This Row],[Quantité]], "")</f>
        <v>147.70000000000002</v>
      </c>
    </row>
    <row r="81" spans="4:8" ht="31.5" customHeight="1">
      <c r="D81" s="29" t="s">
        <v>100</v>
      </c>
      <c r="E81" s="25" t="s">
        <v>25</v>
      </c>
      <c r="F81" s="37"/>
      <c r="G81" s="19"/>
      <c r="H81" s="37">
        <f>IFERROR(Facture[[#This Row],[Prix]]*Facture[[#This Row],[Quantité]], "")</f>
        <v>0</v>
      </c>
    </row>
    <row r="82" spans="4:8" ht="31.5" customHeight="1">
      <c r="D82" s="29" t="s">
        <v>101</v>
      </c>
      <c r="E82" s="25" t="s">
        <v>147</v>
      </c>
      <c r="F82" s="37">
        <v>21.1</v>
      </c>
      <c r="G82" s="19">
        <v>8</v>
      </c>
      <c r="H82" s="37">
        <f>IFERROR(Facture[[#This Row],[Prix]]*Facture[[#This Row],[Quantité]], "")</f>
        <v>168.8</v>
      </c>
    </row>
    <row r="83" spans="4:8" ht="31.5" customHeight="1">
      <c r="D83" s="29" t="s">
        <v>102</v>
      </c>
      <c r="E83" s="25" t="s">
        <v>103</v>
      </c>
      <c r="F83" s="37"/>
      <c r="G83" s="19"/>
      <c r="H83" s="37">
        <f>IFERROR(Facture[[#This Row],[Prix]]*Facture[[#This Row],[Quantité]], "")</f>
        <v>0</v>
      </c>
    </row>
    <row r="84" spans="4:8" ht="31.5" customHeight="1">
      <c r="D84" s="29" t="s">
        <v>105</v>
      </c>
      <c r="E84" s="25" t="s">
        <v>104</v>
      </c>
      <c r="F84" s="37"/>
      <c r="G84" s="19"/>
      <c r="H84" s="37">
        <f>IFERROR(Facture[[#This Row],[Prix]]*Facture[[#This Row],[Quantité]], "")</f>
        <v>0</v>
      </c>
    </row>
    <row r="85" spans="4:8" ht="31.5" customHeight="1">
      <c r="D85" s="29" t="s">
        <v>106</v>
      </c>
      <c r="E85" s="25" t="s">
        <v>144</v>
      </c>
      <c r="F85" s="37">
        <v>17.600000000000001</v>
      </c>
      <c r="G85" s="19">
        <v>10</v>
      </c>
      <c r="H85" s="37">
        <f>IFERROR(Facture[[#This Row],[Prix]]*Facture[[#This Row],[Quantité]], "")</f>
        <v>176</v>
      </c>
    </row>
    <row r="86" spans="4:8" ht="31.5" customHeight="1">
      <c r="D86" s="29" t="s">
        <v>149</v>
      </c>
      <c r="E86" s="25" t="s">
        <v>149</v>
      </c>
      <c r="F86" s="37">
        <v>24</v>
      </c>
      <c r="G86" s="19">
        <v>6</v>
      </c>
      <c r="H86" s="37">
        <f>IFERROR(Facture[[#This Row],[Prix]]*Facture[[#This Row],[Quantité]], "")</f>
        <v>144</v>
      </c>
    </row>
    <row r="87" spans="4:8" ht="31.5" customHeight="1">
      <c r="D87" s="29"/>
      <c r="E87" s="25" t="s">
        <v>107</v>
      </c>
      <c r="F87" s="37"/>
      <c r="G87" s="19"/>
      <c r="H87" s="37">
        <f>IFERROR(Facture[[#This Row],[Prix]]*Facture[[#This Row],[Quantité]], "")</f>
        <v>0</v>
      </c>
    </row>
    <row r="88" spans="4:8" ht="31.5" customHeight="1">
      <c r="D88" s="30" t="s">
        <v>14</v>
      </c>
      <c r="E88" s="25" t="s">
        <v>108</v>
      </c>
      <c r="F88" s="37">
        <v>14</v>
      </c>
      <c r="G88" s="19">
        <v>5</v>
      </c>
      <c r="H88" s="37">
        <f>IFERROR(Facture[[#This Row],[Prix]]*Facture[[#This Row],[Quantité]], "")</f>
        <v>70</v>
      </c>
    </row>
    <row r="89" spans="4:8" ht="31.5" customHeight="1">
      <c r="D89" s="30"/>
      <c r="E89" s="38" t="s">
        <v>146</v>
      </c>
      <c r="F89" s="44">
        <v>32</v>
      </c>
      <c r="G89" s="39">
        <v>3</v>
      </c>
      <c r="H89" s="41">
        <f>IFERROR(Facture[[#This Row],[Prix]]*Facture[[#This Row],[Quantité]], "")</f>
        <v>96</v>
      </c>
    </row>
    <row r="90" spans="4:8" ht="31.5" customHeight="1">
      <c r="D90" s="30" t="s">
        <v>109</v>
      </c>
      <c r="E90" s="25" t="s">
        <v>40</v>
      </c>
      <c r="F90" s="37"/>
      <c r="G90" s="19"/>
      <c r="H90" s="37">
        <f>IFERROR(Facture[[#This Row],[Prix]]*Facture[[#This Row],[Quantité]], "")</f>
        <v>0</v>
      </c>
    </row>
    <row r="91" spans="4:8" ht="31.5" customHeight="1">
      <c r="D91" s="30" t="s">
        <v>110</v>
      </c>
      <c r="E91" s="25" t="s">
        <v>111</v>
      </c>
      <c r="F91" s="37"/>
      <c r="G91" s="19"/>
      <c r="H91" s="37">
        <f>IFERROR(Facture[[#This Row],[Prix]]*Facture[[#This Row],[Quantité]], "")</f>
        <v>0</v>
      </c>
    </row>
    <row r="92" spans="4:8" ht="31.5" customHeight="1">
      <c r="D92" s="30" t="s">
        <v>113</v>
      </c>
      <c r="E92" s="25" t="s">
        <v>112</v>
      </c>
      <c r="F92" s="37">
        <v>21.5</v>
      </c>
      <c r="G92" s="19">
        <v>4</v>
      </c>
      <c r="H92" s="37">
        <f>IFERROR(Facture[[#This Row],[Prix]]*Facture[[#This Row],[Quantité]], "")</f>
        <v>86</v>
      </c>
    </row>
    <row r="93" spans="4:8" ht="31.5" customHeight="1">
      <c r="D93" s="30" t="s">
        <v>114</v>
      </c>
      <c r="E93" s="25" t="s">
        <v>115</v>
      </c>
      <c r="F93" s="37"/>
      <c r="G93" s="19"/>
      <c r="H93" s="37">
        <f>IFERROR(Facture[[#This Row],[Prix]]*Facture[[#This Row],[Quantité]], "")</f>
        <v>0</v>
      </c>
    </row>
    <row r="94" spans="4:8" ht="31.5" customHeight="1">
      <c r="D94" s="30" t="s">
        <v>116</v>
      </c>
      <c r="E94" s="25" t="s">
        <v>148</v>
      </c>
      <c r="F94" s="37">
        <v>25</v>
      </c>
      <c r="G94" s="19">
        <v>5</v>
      </c>
      <c r="H94" s="37">
        <f>IFERROR(Facture[[#This Row],[Prix]]*Facture[[#This Row],[Quantité]], "")</f>
        <v>125</v>
      </c>
    </row>
    <row r="95" spans="4:8" ht="31.5" customHeight="1">
      <c r="D95" s="30" t="s">
        <v>117</v>
      </c>
      <c r="E95" s="25" t="s">
        <v>118</v>
      </c>
      <c r="F95" s="37">
        <v>16.8</v>
      </c>
      <c r="G95" s="19">
        <v>5</v>
      </c>
      <c r="H95" s="37">
        <f>IFERROR(Facture[[#This Row],[Prix]]*Facture[[#This Row],[Quantité]], "")</f>
        <v>84</v>
      </c>
    </row>
    <row r="96" spans="4:8" ht="31.5" customHeight="1">
      <c r="D96" s="30" t="s">
        <v>150</v>
      </c>
      <c r="E96" s="38" t="s">
        <v>149</v>
      </c>
      <c r="F96" s="44">
        <v>28</v>
      </c>
      <c r="G96" s="39">
        <v>3</v>
      </c>
      <c r="H96" s="41">
        <f>IFERROR(Facture[[#This Row],[Prix]]*Facture[[#This Row],[Quantité]], "")</f>
        <v>84</v>
      </c>
    </row>
    <row r="97" spans="4:8" ht="31.5" customHeight="1">
      <c r="D97" s="30"/>
      <c r="E97" s="40" t="s">
        <v>155</v>
      </c>
      <c r="F97" s="37">
        <v>29.9</v>
      </c>
      <c r="G97" s="19">
        <v>6</v>
      </c>
      <c r="H97" s="42">
        <f>IFERROR(Facture[[#This Row],[Prix]]*Facture[[#This Row],[Quantité]], "")</f>
        <v>179.39999999999998</v>
      </c>
    </row>
    <row r="98" spans="4:8" ht="31.5" customHeight="1">
      <c r="D98" s="30" t="s">
        <v>151</v>
      </c>
      <c r="E98" s="38" t="s">
        <v>151</v>
      </c>
      <c r="F98" s="44">
        <v>15.1</v>
      </c>
      <c r="G98" s="39">
        <v>5</v>
      </c>
      <c r="H98" s="41">
        <f>IFERROR(Facture[[#This Row],[Prix]]*Facture[[#This Row],[Quantité]], "")</f>
        <v>75.5</v>
      </c>
    </row>
    <row r="99" spans="4:8" ht="31.5" customHeight="1">
      <c r="D99" s="35" t="s">
        <v>15</v>
      </c>
      <c r="E99" s="25" t="s">
        <v>19</v>
      </c>
      <c r="F99" s="37">
        <v>15.4</v>
      </c>
      <c r="G99" s="19">
        <v>1</v>
      </c>
      <c r="H99" s="37">
        <f>IFERROR(Facture[[#This Row],[Prix]]*Facture[[#This Row],[Quantité]], "")</f>
        <v>15.4</v>
      </c>
    </row>
    <row r="100" spans="4:8" ht="31.5" customHeight="1">
      <c r="D100" s="35" t="s">
        <v>123</v>
      </c>
      <c r="E100" s="25" t="s">
        <v>134</v>
      </c>
      <c r="F100" s="37">
        <v>24.16</v>
      </c>
      <c r="G100" s="19">
        <v>4</v>
      </c>
      <c r="H100" s="37">
        <f>IFERROR(Facture[[#This Row],[Prix]]*Facture[[#This Row],[Quantité]], "")</f>
        <v>96.64</v>
      </c>
    </row>
    <row r="101" spans="4:8" ht="31.5" customHeight="1">
      <c r="D101" s="35" t="s">
        <v>124</v>
      </c>
      <c r="E101" s="25" t="s">
        <v>125</v>
      </c>
      <c r="F101" s="37"/>
      <c r="G101" s="19"/>
      <c r="H101" s="37">
        <f>IFERROR(Facture[[#This Row],[Prix]]*Facture[[#This Row],[Quantité]], "")</f>
        <v>0</v>
      </c>
    </row>
    <row r="102" spans="4:8" ht="31.5" customHeight="1">
      <c r="D102" s="35" t="s">
        <v>128</v>
      </c>
      <c r="E102" s="25" t="s">
        <v>112</v>
      </c>
      <c r="F102" s="37">
        <v>24.6</v>
      </c>
      <c r="G102" s="19">
        <v>5</v>
      </c>
      <c r="H102" s="37">
        <f>IFERROR(Facture[[#This Row],[Prix]]*Facture[[#This Row],[Quantité]], "")</f>
        <v>123</v>
      </c>
    </row>
    <row r="103" spans="4:8" ht="31.5" customHeight="1">
      <c r="D103" s="35" t="s">
        <v>129</v>
      </c>
      <c r="E103" s="25" t="s">
        <v>115</v>
      </c>
      <c r="F103" s="37"/>
      <c r="G103" s="19"/>
      <c r="H103" s="37">
        <f>IFERROR(Facture[[#This Row],[Prix]]*Facture[[#This Row],[Quantité]], "")</f>
        <v>0</v>
      </c>
    </row>
    <row r="104" spans="4:8" ht="31.5" customHeight="1">
      <c r="D104" s="35" t="s">
        <v>130</v>
      </c>
      <c r="E104" s="25" t="s">
        <v>148</v>
      </c>
      <c r="F104" s="37">
        <v>25</v>
      </c>
      <c r="G104" s="19">
        <v>2</v>
      </c>
      <c r="H104" s="37">
        <f>IFERROR(Facture[[#This Row],[Prix]]*Facture[[#This Row],[Quantité]], "")</f>
        <v>50</v>
      </c>
    </row>
    <row r="105" spans="4:8" ht="31.5" customHeight="1">
      <c r="D105" s="35" t="s">
        <v>151</v>
      </c>
      <c r="E105" s="38" t="s">
        <v>151</v>
      </c>
      <c r="F105" s="44">
        <v>15.9</v>
      </c>
      <c r="G105" s="39">
        <v>6</v>
      </c>
      <c r="H105" s="41">
        <f>IFERROR(Facture[[#This Row],[Prix]]*Facture[[#This Row],[Quantité]], "")</f>
        <v>95.4</v>
      </c>
    </row>
    <row r="106" spans="4:8" ht="31.5" customHeight="1">
      <c r="D106" s="35"/>
      <c r="E106" s="40" t="s">
        <v>155</v>
      </c>
      <c r="F106" s="37">
        <v>29.9</v>
      </c>
      <c r="G106" s="19">
        <v>2</v>
      </c>
      <c r="H106" s="42">
        <f>IFERROR(Facture[[#This Row],[Prix]]*Facture[[#This Row],[Quantité]], "")</f>
        <v>59.8</v>
      </c>
    </row>
    <row r="107" spans="4:8" ht="31.5" customHeight="1">
      <c r="D107" s="35" t="s">
        <v>131</v>
      </c>
      <c r="E107" s="25" t="s">
        <v>126</v>
      </c>
      <c r="F107" s="37">
        <v>21.1</v>
      </c>
      <c r="G107" s="19">
        <v>5</v>
      </c>
      <c r="H107" s="37">
        <f>IFERROR(Facture[[#This Row],[Prix]]*Facture[[#This Row],[Quantité]], "")</f>
        <v>105.5</v>
      </c>
    </row>
    <row r="108" spans="4:8" ht="31.5" customHeight="1">
      <c r="D108" s="35" t="s">
        <v>132</v>
      </c>
      <c r="E108" s="25" t="s">
        <v>127</v>
      </c>
      <c r="F108" s="37">
        <v>13.45</v>
      </c>
      <c r="G108" s="19">
        <v>2</v>
      </c>
      <c r="H108" s="37">
        <f>IFERROR(Facture[[#This Row],[Prix]]*Facture[[#This Row],[Quantité]], "")</f>
        <v>26.9</v>
      </c>
    </row>
    <row r="109" spans="4:8" ht="31.5" customHeight="1">
      <c r="D109" s="20" t="s">
        <v>152</v>
      </c>
      <c r="E109" s="40" t="s">
        <v>99</v>
      </c>
      <c r="F109" s="44">
        <v>26.8</v>
      </c>
      <c r="G109" s="39">
        <v>2</v>
      </c>
      <c r="H109" s="41">
        <f>IFERROR(Facture[[#This Row],[Prix]]*Facture[[#This Row],[Quantité]], "")</f>
        <v>53.6</v>
      </c>
    </row>
    <row r="110" spans="4:8" ht="31.5" customHeight="1">
      <c r="D110" s="35"/>
      <c r="E110" s="40" t="s">
        <v>89</v>
      </c>
      <c r="F110" s="44">
        <v>42.5</v>
      </c>
      <c r="G110" s="39">
        <v>2</v>
      </c>
      <c r="H110" s="41">
        <f>IFERROR(Facture[[#This Row],[Prix]]*Facture[[#This Row],[Quantité]], "")</f>
        <v>85</v>
      </c>
    </row>
    <row r="111" spans="4:8" ht="31.5" customHeight="1">
      <c r="D111" s="35"/>
      <c r="E111" s="40" t="s">
        <v>153</v>
      </c>
      <c r="F111" s="44">
        <v>35</v>
      </c>
      <c r="G111" s="39">
        <v>2</v>
      </c>
      <c r="H111" s="41">
        <f>IFERROR(Facture[[#This Row],[Prix]]*Facture[[#This Row],[Quantité]], "")</f>
        <v>70</v>
      </c>
    </row>
    <row r="112" spans="4:8" ht="31.5" customHeight="1">
      <c r="D112" s="35"/>
      <c r="E112" s="40" t="s">
        <v>154</v>
      </c>
      <c r="F112" s="37">
        <v>35</v>
      </c>
      <c r="G112" s="19">
        <v>4</v>
      </c>
      <c r="H112" s="42">
        <f>IFERROR(Facture[[#This Row],[Prix]]*Facture[[#This Row],[Quantité]], "")</f>
        <v>140</v>
      </c>
    </row>
    <row r="113" spans="4:8" ht="31.5" customHeight="1">
      <c r="D113" s="35"/>
      <c r="E113" s="40" t="s">
        <v>156</v>
      </c>
      <c r="F113" s="37">
        <v>34</v>
      </c>
      <c r="G113" s="19">
        <v>1</v>
      </c>
      <c r="H113" s="42">
        <f>IFERROR(Facture[[#This Row],[Prix]]*Facture[[#This Row],[Quantité]], "")</f>
        <v>34</v>
      </c>
    </row>
    <row r="114" spans="4:8" ht="31.5" customHeight="1">
      <c r="D114" s="35"/>
      <c r="E114" s="40" t="s">
        <v>157</v>
      </c>
      <c r="F114" s="37">
        <v>33.5</v>
      </c>
      <c r="G114" s="19">
        <v>1</v>
      </c>
      <c r="H114" s="42">
        <f>IFERROR(Facture[[#This Row],[Prix]]*Facture[[#This Row],[Quantité]], "")</f>
        <v>33.5</v>
      </c>
    </row>
    <row r="115" spans="4:8" ht="31.5" customHeight="1">
      <c r="D115" s="35"/>
      <c r="E115" s="40" t="s">
        <v>158</v>
      </c>
      <c r="F115" s="37">
        <v>19.5</v>
      </c>
      <c r="G115" s="19">
        <v>2</v>
      </c>
      <c r="H115" s="42">
        <f>IFERROR(Facture[[#This Row],[Prix]]*Facture[[#This Row],[Quantité]], "")</f>
        <v>39</v>
      </c>
    </row>
    <row r="116" spans="4:8" ht="31.5" customHeight="1">
      <c r="D116" s="35"/>
      <c r="E116" s="40" t="s">
        <v>159</v>
      </c>
      <c r="F116" s="37">
        <v>19.5</v>
      </c>
      <c r="G116" s="19">
        <v>4</v>
      </c>
      <c r="H116" s="42">
        <f>IFERROR(Facture[[#This Row],[Prix]]*Facture[[#This Row],[Quantité]], "")</f>
        <v>78</v>
      </c>
    </row>
    <row r="117" spans="4:8" ht="31.5" customHeight="1">
      <c r="D117" s="35"/>
      <c r="E117" s="40" t="s">
        <v>160</v>
      </c>
      <c r="F117" s="37">
        <v>43.2</v>
      </c>
      <c r="G117" s="19">
        <v>4</v>
      </c>
      <c r="H117" s="42">
        <f>IFERROR(Facture[[#This Row],[Prix]]*Facture[[#This Row],[Quantité]], "")</f>
        <v>172.8</v>
      </c>
    </row>
    <row r="118" spans="4:8" ht="31.5" customHeight="1">
      <c r="D118" s="35" t="s">
        <v>161</v>
      </c>
      <c r="E118" s="40" t="s">
        <v>162</v>
      </c>
      <c r="F118" s="37">
        <v>40</v>
      </c>
      <c r="G118" s="19">
        <v>5</v>
      </c>
      <c r="H118" s="42">
        <f>IFERROR(Facture[[#This Row],[Prix]]*Facture[[#This Row],[Quantité]], "")</f>
        <v>200</v>
      </c>
    </row>
    <row r="119" spans="4:8" ht="31.5" customHeight="1">
      <c r="D119" s="35"/>
      <c r="E119" s="40" t="s">
        <v>163</v>
      </c>
      <c r="F119" s="37">
        <v>23</v>
      </c>
      <c r="G119" s="19">
        <v>1</v>
      </c>
      <c r="H119" s="42">
        <f>IFERROR(Facture[[#This Row],[Prix]]*Facture[[#This Row],[Quantité]], "")</f>
        <v>23</v>
      </c>
    </row>
    <row r="120" spans="4:8" ht="31.5" customHeight="1">
      <c r="D120" s="35" t="s">
        <v>164</v>
      </c>
      <c r="E120" s="40" t="s">
        <v>165</v>
      </c>
      <c r="F120" s="37">
        <v>49.8</v>
      </c>
      <c r="G120" s="19">
        <v>2</v>
      </c>
      <c r="H120" s="42">
        <f>IFERROR(Facture[[#This Row],[Prix]]*Facture[[#This Row],[Quantité]], "")</f>
        <v>99.6</v>
      </c>
    </row>
    <row r="121" spans="4:8" ht="31.5" customHeight="1">
      <c r="D121" s="35"/>
      <c r="E121" s="40" t="s">
        <v>166</v>
      </c>
      <c r="F121" s="37">
        <v>33</v>
      </c>
      <c r="G121" s="19">
        <v>1</v>
      </c>
      <c r="H121" s="42">
        <f>IFERROR(Facture[[#This Row],[Prix]]*Facture[[#This Row],[Quantité]], "")</f>
        <v>33</v>
      </c>
    </row>
    <row r="122" spans="4:8" ht="31.5" customHeight="1">
      <c r="D122" s="35" t="s">
        <v>167</v>
      </c>
      <c r="E122" s="40" t="s">
        <v>169</v>
      </c>
      <c r="F122" s="37">
        <v>49</v>
      </c>
      <c r="G122" s="19">
        <v>2</v>
      </c>
      <c r="H122" s="42">
        <f>IFERROR(Facture[[#This Row],[Prix]]*Facture[[#This Row],[Quantité]], "")</f>
        <v>98</v>
      </c>
    </row>
    <row r="123" spans="4:8" ht="31.5" customHeight="1">
      <c r="D123" s="35"/>
      <c r="E123" s="40" t="s">
        <v>170</v>
      </c>
      <c r="F123" s="37">
        <v>33</v>
      </c>
      <c r="G123" s="19">
        <v>4</v>
      </c>
      <c r="H123" s="42">
        <f>IFERROR(Facture[[#This Row],[Prix]]*Facture[[#This Row],[Quantité]], "")</f>
        <v>132</v>
      </c>
    </row>
    <row r="124" spans="4:8" ht="31.5" customHeight="1">
      <c r="D124" s="35"/>
      <c r="E124" s="40" t="s">
        <v>168</v>
      </c>
      <c r="F124" s="37">
        <v>20</v>
      </c>
      <c r="G124" s="19">
        <v>3</v>
      </c>
      <c r="H124" s="42">
        <f>IFERROR(Facture[[#This Row],[Prix]]*Facture[[#This Row],[Quantité]], "")</f>
        <v>60</v>
      </c>
    </row>
    <row r="125" spans="4:8" ht="31.5" customHeight="1">
      <c r="D125" s="35"/>
      <c r="E125" s="40" t="s">
        <v>171</v>
      </c>
      <c r="F125" s="37">
        <v>30</v>
      </c>
      <c r="G125" s="19">
        <v>8</v>
      </c>
      <c r="H125" s="42">
        <f>IFERROR(Facture[[#This Row],[Prix]]*Facture[[#This Row],[Quantité]], "")</f>
        <v>240</v>
      </c>
    </row>
    <row r="126" spans="4:8" ht="31.5" customHeight="1">
      <c r="D126" s="35"/>
      <c r="E126" s="40" t="s">
        <v>172</v>
      </c>
      <c r="F126" s="37">
        <v>30</v>
      </c>
      <c r="G126" s="19">
        <v>2</v>
      </c>
      <c r="H126" s="42">
        <f>IFERROR(Facture[[#This Row],[Prix]]*Facture[[#This Row],[Quantité]], "")</f>
        <v>60</v>
      </c>
    </row>
    <row r="127" spans="4:8" ht="31.5" customHeight="1">
      <c r="D127" s="35"/>
      <c r="E127" s="40" t="s">
        <v>173</v>
      </c>
      <c r="F127" s="37">
        <v>40</v>
      </c>
      <c r="G127" s="19">
        <v>1</v>
      </c>
      <c r="H127" s="42">
        <f>IFERROR(Facture[[#This Row],[Prix]]*Facture[[#This Row],[Quantité]], "")</f>
        <v>40</v>
      </c>
    </row>
    <row r="128" spans="4:8" ht="31.5" customHeight="1">
      <c r="D128" s="35"/>
      <c r="E128" s="40" t="s">
        <v>174</v>
      </c>
      <c r="F128" s="44">
        <v>40</v>
      </c>
      <c r="G128" s="39">
        <v>1</v>
      </c>
      <c r="H128" s="41">
        <f>IFERROR(Facture[[#This Row],[Prix]]*Facture[[#This Row],[Quantité]], "")</f>
        <v>40</v>
      </c>
    </row>
    <row r="129" spans="4:8" ht="31.5" customHeight="1">
      <c r="D129" s="35"/>
      <c r="E129" s="40" t="s">
        <v>175</v>
      </c>
      <c r="F129" s="37">
        <v>39.9</v>
      </c>
      <c r="G129" s="19">
        <v>5</v>
      </c>
      <c r="H129" s="42">
        <f>IFERROR(Facture[[#This Row],[Prix]]*Facture[[#This Row],[Quantité]], "")</f>
        <v>199.5</v>
      </c>
    </row>
    <row r="130" spans="4:8" ht="31.5" customHeight="1">
      <c r="D130" s="35"/>
      <c r="E130" s="40" t="s">
        <v>176</v>
      </c>
      <c r="F130" s="37">
        <v>29.9</v>
      </c>
      <c r="G130" s="19">
        <v>1</v>
      </c>
      <c r="H130" s="42">
        <f>IFERROR(Facture[[#This Row],[Prix]]*Facture[[#This Row],[Quantité]], "")</f>
        <v>29.9</v>
      </c>
    </row>
    <row r="131" spans="4:8" ht="31.5" customHeight="1">
      <c r="D131" s="12"/>
      <c r="E131" s="25" t="s">
        <v>133</v>
      </c>
      <c r="F131" s="37">
        <v>22</v>
      </c>
      <c r="G131" s="19">
        <v>2</v>
      </c>
      <c r="H131" s="37">
        <f>IFERROR(Facture[[#This Row],[Prix]]*Facture[[#This Row],[Quantité]], "")</f>
        <v>44</v>
      </c>
    </row>
    <row r="132" spans="4:8" ht="31.5" customHeight="1">
      <c r="D132" s="12"/>
      <c r="E132" s="22" t="str">
        <f>"Nombre total d’articles : "&amp;SUBTOTAL(103,[Description])</f>
        <v>Nombre total d’articles : 127</v>
      </c>
      <c r="F132" s="36"/>
      <c r="G132" s="6" t="s">
        <v>4</v>
      </c>
      <c r="H132" s="43">
        <f>SUBTOTAL(109,[Montant])</f>
        <v>9238.49</v>
      </c>
    </row>
    <row r="133" spans="4:8" ht="31.5" customHeight="1">
      <c r="D133" s="16" t="s">
        <v>12</v>
      </c>
      <c r="E133" s="55">
        <v>-0.2</v>
      </c>
      <c r="F133" s="55"/>
      <c r="G133" s="16"/>
      <c r="H133" s="45">
        <f>IFERROR(IF(TauxTVA=0,0,Facture[[#Totals],[Montant]]*TauxTVA), "")</f>
        <v>-1847.6980000000001</v>
      </c>
    </row>
    <row r="134" spans="4:8" ht="31.5" customHeight="1">
      <c r="D134" s="3"/>
      <c r="E134" s="1"/>
      <c r="G134" s="16" t="s">
        <v>5</v>
      </c>
      <c r="H134" s="45">
        <v>0</v>
      </c>
    </row>
    <row r="135" spans="4:8" ht="31.5" customHeight="1" thickBot="1">
      <c r="E135" s="1"/>
      <c r="G135" s="16" t="s">
        <v>6</v>
      </c>
      <c r="H135" s="46">
        <f>IFERROR((Facture[[#Totals],[Montant]]+TVA)-Acompte, "")</f>
        <v>7390.7919999999995</v>
      </c>
    </row>
    <row r="136" spans="4:8" ht="31.5" customHeight="1" thickTop="1">
      <c r="D136" s="53"/>
      <c r="E136" s="53"/>
      <c r="F136" s="53"/>
      <c r="G136" s="53"/>
      <c r="H136" s="53"/>
    </row>
    <row r="137" spans="4:8" ht="31.5" customHeight="1">
      <c r="D137" s="54"/>
      <c r="E137" s="54"/>
      <c r="F137" s="54"/>
      <c r="G137" s="54"/>
      <c r="H137" s="54"/>
    </row>
    <row r="138" spans="4:8" ht="31.5" customHeight="1" thickBot="1"/>
    <row r="139" spans="4:8" ht="31.5" customHeight="1" thickTop="1">
      <c r="D139" s="50" t="s">
        <v>8</v>
      </c>
      <c r="E139" s="50"/>
      <c r="F139" s="50"/>
      <c r="G139" s="50"/>
      <c r="H139" s="50"/>
    </row>
    <row r="140" spans="4:8" ht="31.5" customHeight="1">
      <c r="D140" s="15">
        <v>661892286</v>
      </c>
      <c r="E140" s="47" t="s">
        <v>9</v>
      </c>
      <c r="F140" s="47"/>
      <c r="G140" s="47"/>
      <c r="H140" s="47"/>
    </row>
    <row r="141" spans="4:8" ht="31.5" customHeight="1">
      <c r="D141" s="15" t="s">
        <v>11</v>
      </c>
      <c r="E141" s="48">
        <v>26000</v>
      </c>
      <c r="F141" s="48"/>
      <c r="G141" s="47" t="s">
        <v>10</v>
      </c>
      <c r="H141" s="47"/>
    </row>
  </sheetData>
  <dataConsolidate/>
  <mergeCells count="13">
    <mergeCell ref="D1:E1"/>
    <mergeCell ref="F1:G1"/>
    <mergeCell ref="D3:H3"/>
    <mergeCell ref="D136:H136"/>
    <mergeCell ref="D137:H137"/>
    <mergeCell ref="D2:H2"/>
    <mergeCell ref="E133:F133"/>
    <mergeCell ref="G140:H140"/>
    <mergeCell ref="G141:H141"/>
    <mergeCell ref="E140:F140"/>
    <mergeCell ref="E141:F141"/>
    <mergeCell ref="B17:B18"/>
    <mergeCell ref="D139:H139"/>
  </mergeCells>
  <phoneticPr fontId="0" type="noConversion"/>
  <dataValidations xWindow="171" yWindow="619" count="47">
    <dataValidation allowBlank="1" showInputMessage="1" showErrorMessage="1" prompt="Entrez le nom et les informations relatives à la société facturatrice dans les cellules ci-dessous." sqref="D139"/>
    <dataValidation allowBlank="1" showInputMessage="1" showErrorMessage="1" prompt="Le total de la facture est automatiquement mis à jour dans la cellule de droite." sqref="G135"/>
    <dataValidation allowBlank="1" showInputMessage="1" showErrorMessage="1" prompt="Le total de la facture est automatiquement mis à jour dans cette cellule." sqref="H135"/>
    <dataValidation allowBlank="1" showInputMessage="1" showErrorMessage="1" prompt="Entrez le montant de l’acompte déjà versé dans la cellule de droite." sqref="G134"/>
    <dataValidation allowBlank="1" showInputMessage="1" showErrorMessage="1" prompt="Entrez le montant de l’acompte déjà versé dans cette cellule." sqref="H134"/>
    <dataValidation allowBlank="1" showInputMessage="1" showErrorMessage="1" prompt="Entrez le taux de TVA dans la cellule de gauche et la TVA sera automatiquement mise à jour dans la cellule de droite." sqref="G133"/>
    <dataValidation allowBlank="1" showInputMessage="1" showErrorMessage="1" prompt="La TVA est automatiquement mise à jour dans cette cellule." sqref="H133"/>
    <dataValidation allowBlank="1" showInputMessage="1" showErrorMessage="1" prompt="Entrez le taux de TVA dans la cellule de droite." sqref="D133"/>
    <dataValidation allowBlank="1" showInputMessage="1" showErrorMessage="1" prompt="Entrez le taux de TVA dans cette cellule. Entrez 0 % en cas d’exemption de TVA." sqref="E133:F133"/>
    <dataValidation allowBlank="1" showInputMessage="1" showErrorMessage="1" prompt="Entrez le numéro de téléphone de la société facturatrice dans cette cellule. À ajouter après Téléphone :" sqref="D140"/>
    <dataValidation allowBlank="1" showInputMessage="1" showErrorMessage="1" prompt="Entrez l’adresse de la société facturatrice dans cette cellule." sqref="E140:F140"/>
    <dataValidation allowBlank="1" showInputMessage="1" showErrorMessage="1" prompt="Entrez le code postal et la ville de la société facturatrice dans cette cellule." sqref="E141:F141"/>
    <dataValidation allowBlank="1" showInputMessage="1" showErrorMessage="1" prompt="Entrez le site web de la société facturatrice dans cette cellule." sqref="G140:H140"/>
    <dataValidation allowBlank="1" showInputMessage="1" showErrorMessage="1" prompt="Entrez l’adresse e-mail de la société facturatrice dans cette cellule." sqref="G141:H141"/>
    <dataValidation allowBlank="1" showInputMessage="1" showErrorMessage="1" prompt="Entrez le numéro de télécopie de la société facturatrice dans cette cellule. À ajouter après Télécopie :" sqref="D141"/>
    <dataValidation allowBlank="1" showInputMessage="1" showErrorMessage="1" prompt="Créez une facture calculant le total dans ce classeur. Entrez les informations relatives à la facturation, à la livraison et au client dans la colonne B, et les détails de la facture dans le tableau. Le total dû est automatiquement calculé." sqref="A1"/>
    <dataValidation allowBlank="1" showInputMessage="1" showErrorMessage="1" prompt="Entrez le numéro de la facture dans la cellule de droite." sqref="F1:G1"/>
    <dataValidation allowBlank="1" showInputMessage="1" showErrorMessage="1" prompt="Entrez le numéro de la facture dans cette cellule, et la description du projet ou du service facturé dans la cellule D3." sqref="H1"/>
    <dataValidation allowBlank="1" showInputMessage="1" showErrorMessage="1" prompt="Entrez les informations relatives à la facturation et à la livraison dans les cellules ci-dessous. Entrez les détails de la facture dans le tableau Facture à partir de la cellule D7." sqref="B2"/>
    <dataValidation allowBlank="1" showInputMessage="1" showErrorMessage="1" prompt="Entrez la description du projet ou du service dans la cellule ci-dessous." sqref="D2:H2"/>
    <dataValidation allowBlank="1" showInputMessage="1" showErrorMessage="1" prompt="Entrez la description du projet ou du service dans cette cellule, et les détails de la facture dans le tableau ci-dessous." sqref="D3:H3"/>
    <dataValidation allowBlank="1" showInputMessage="1" showErrorMessage="1" prompt="Entrez la référence de l’article dans cette colonne sous ce titre." sqref="D4"/>
    <dataValidation allowBlank="1" showInputMessage="1" showErrorMessage="1" prompt="Entrez la description dans cette colonne sous ce titre. Le nombre total d’articles apparaît à la fin de cette colonne du tableau." sqref="E4"/>
    <dataValidation allowBlank="1" showInputMessage="1" showErrorMessage="1" prompt="Entrez le prix dans cette colonne sous ce titre." sqref="F4"/>
    <dataValidation allowBlank="1" showInputMessage="1" showErrorMessage="1" prompt="Entrez la quantité dans cette colonne sous ce titre." sqref="G4"/>
    <dataValidation allowBlank="1" showInputMessage="1" showErrorMessage="1" prompt="Le montant est automatiquement calculé dans cette colonne. Entrez le taux de TVA sous le tableau. Le sous-total, le montant de la TVA, l’acompte déjà versé et le total de la facture figurent à fin de cette colonne." sqref="H4"/>
    <dataValidation allowBlank="1" showInputMessage="1" showErrorMessage="1" prompt="Entrez les informations relatives à la livraison dans les cellules ci-dessous." sqref="B8"/>
    <dataValidation allowBlank="1" showInputMessage="1" showErrorMessage="1" prompt="Le nom de la société est automatiquement mis à jour dans la cellule ci-dessous. Entrez les informations de contact dans les cellules B19 à B21." sqref="B15"/>
    <dataValidation allowBlank="1" showInputMessage="1" showErrorMessage="1" prompt="Le nom de la société est automatiquement mis à jour dans cette cellule." sqref="B16"/>
    <dataValidation allowBlank="1" showInputMessage="1" showErrorMessage="1" prompt="Entrez les informations de contact dans les cellules ci-dessous. Entrez le nom et les informations relatives à la société sous les détails du tableau Facture à la fin de la feuille de calcul." sqref="B17:B18"/>
    <dataValidation allowBlank="1" showInputMessage="1" showErrorMessage="1" prompt="Sous Adresse de facturation : Entrez le nom dans cette cellule." sqref="B3"/>
    <dataValidation allowBlank="1" showInputMessage="1" showErrorMessage="1" prompt="Sous Adresse de facturation : Entrez le nom de la société dans cette cellule." sqref="B4"/>
    <dataValidation allowBlank="1" showInputMessage="1" showErrorMessage="1" prompt="Sous Adresse de facturation : Entrez l’adresse dans cette cellule." sqref="B5"/>
    <dataValidation allowBlank="1" showInputMessage="1" showErrorMessage="1" prompt="Sous Adresse de facturation : Entrez le code postal et la ville dans cette cellule." sqref="B6"/>
    <dataValidation allowBlank="1" showInputMessage="1" showErrorMessage="1" prompt="Sous Adresse de facturation : Entrez le numéro de téléphone dans cette cellule." sqref="B7"/>
    <dataValidation allowBlank="1" showInputMessage="1" showErrorMessage="1" prompt="Sous Adresse de livraison : Entrez le nom dans cette cellule." sqref="B9"/>
    <dataValidation allowBlank="1" showInputMessage="1" showErrorMessage="1" prompt="Sous Adresse de livraison : Entrez le nom de la société dans cette cellule." sqref="B10"/>
    <dataValidation allowBlank="1" showInputMessage="1" showErrorMessage="1" prompt="Sous Adresse de livraison : Entrez l’adresse dans cette cellule." sqref="B11"/>
    <dataValidation allowBlank="1" showInputMessage="1" showErrorMessage="1" prompt="Sous Adresse de livraison : Entrez le code postal et la ville dans cette cellule." sqref="B12"/>
    <dataValidation allowBlank="1" showInputMessage="1" showErrorMessage="1" prompt="Sous Adresse de livraison : Entrez le numéro de téléphone dans cette cellule." sqref="B13"/>
    <dataValidation allowBlank="1" showInputMessage="1" showErrorMessage="1" prompt="Entrez le nom du contact de la société facturatrice dans cette cellule." sqref="B19"/>
    <dataValidation allowBlank="1" showInputMessage="1" showErrorMessage="1" prompt="Entrez le numéro de téléphone du contact de la société facturatrice dans cette cellule." sqref="B20"/>
    <dataValidation allowBlank="1" showInputMessage="1" showErrorMessage="1" prompt="Entrez l’adresse e-mail du contact de la société facturatrice dans cette cellule." sqref="B21"/>
    <dataValidation allowBlank="1" showInputMessage="1" showErrorMessage="1" prompt="Ajoutez le logo de la société dans cette cellule. Mettez à jour les informations relatives à la facturation, à la livraison et au client dans les cellules ci-dessous. Entrez le numéro de la facture dans la cellule H1." sqref="B1"/>
    <dataValidation allowBlank="1" showInputMessage="1" showErrorMessage="1" prompt="Entrez la date de la facture dans cette cellule." sqref="D1:E1"/>
    <dataValidation type="decimal" errorStyle="warning" operator="greaterThanOrEqual" allowBlank="1" showInputMessage="1" showErrorMessage="1" error="Entrez une quantité supérieure ou égale à 0. Appuyez sur ANNULER et entrez la valeur." sqref="G5:G131">
      <formula1>0</formula1>
    </dataValidation>
    <dataValidation type="decimal" errorStyle="warning" operator="greaterThanOrEqual" allowBlank="1" showInputMessage="1" showErrorMessage="1" error="Entrez un prix supérieur ou égal à 0. Appuyez sur ANNULER et entrez la valeur." sqref="F5:F131">
      <formula1>0</formula1>
    </dataValidation>
  </dataValidations>
  <hyperlinks>
    <hyperlink ref="G141" r:id="rId1"/>
  </hyperlinks>
  <printOptions horizontalCentered="1"/>
  <pageMargins left="0.5" right="0.5" top="1" bottom="0.75" header="0.5" footer="0.5"/>
  <pageSetup paperSize="9" fitToHeight="0" orientation="landscape" r:id="rId2"/>
  <headerFooter differentFirst="1">
    <oddFooter>Page &amp;P of &amp;N</oddFooter>
  </headerFooter>
  <ignoredErrors>
    <ignoredError sqref="H7 H9" emptyCellReference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Facture simple</vt:lpstr>
      <vt:lpstr>Acompte</vt:lpstr>
      <vt:lpstr>NomSociété</vt:lpstr>
      <vt:lpstr>RégionTitreColonne1..B7</vt:lpstr>
      <vt:lpstr>RégionTitreColonne2..B13</vt:lpstr>
      <vt:lpstr>RégionTitreColonne3..B16</vt:lpstr>
      <vt:lpstr>RégionTitreColonne4..B21</vt:lpstr>
      <vt:lpstr>RégionTitreColonne5..D3</vt:lpstr>
      <vt:lpstr>TauxTVA</vt:lpstr>
      <vt:lpstr>TitreColonne1</vt:lpstr>
      <vt:lpstr>TVA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2018-06-13T07:39:26Z</dcterms:created>
  <dcterms:modified xsi:type="dcterms:W3CDTF">2024-08-06T19:12:57Z</dcterms:modified>
</cp:coreProperties>
</file>