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codeName="ThisWorkbook"/>
  <bookViews>
    <workbookView xWindow="0" yWindow="0" windowWidth="19440" windowHeight="12195"/>
  </bookViews>
  <sheets>
    <sheet name="Facture simple" sheetId="1" r:id="rId1"/>
  </sheets>
  <definedNames>
    <definedName name="Acompte">'Facture simple'!$H$102</definedName>
    <definedName name="NomSociété">'Facture simple'!$D$107</definedName>
    <definedName name="RégionTitreColonne1..B7">'Facture simple'!$B$2</definedName>
    <definedName name="RégionTitreColonne2..B13">'Facture simple'!$B$8</definedName>
    <definedName name="RégionTitreColonne3..B16">'Facture simple'!$B$15</definedName>
    <definedName name="RégionTitreColonne4..B21">'Facture simple'!$B$17</definedName>
    <definedName name="RégionTitreColonne5..D3">'Facture simple'!$D$2</definedName>
    <definedName name="TauxTVA">'Facture simple'!$E$101</definedName>
    <definedName name="TitreColonne1">Facture[[#Headers],[Référence]]</definedName>
    <definedName name="TVA">'Facture simple'!$H$101</definedName>
  </definedNames>
  <calcPr calcId="124519"/>
</workbook>
</file>

<file path=xl/calcChain.xml><?xml version="1.0" encoding="utf-8"?>
<calcChain xmlns="http://schemas.openxmlformats.org/spreadsheetml/2006/main">
  <c r="H93" i="1"/>
  <c r="H94"/>
  <c r="H91"/>
  <c r="H92"/>
  <c r="H95"/>
  <c r="H85"/>
  <c r="H86"/>
  <c r="H87"/>
  <c r="H89"/>
  <c r="H88"/>
  <c r="H90"/>
  <c r="H96"/>
  <c r="E100"/>
  <c r="H83"/>
  <c r="H32"/>
  <c r="H81"/>
  <c r="H82"/>
  <c r="H84"/>
  <c r="H50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3"/>
  <c r="H34"/>
  <c r="H35"/>
  <c r="H36"/>
  <c r="H37"/>
  <c r="H38"/>
  <c r="H39"/>
  <c r="H40"/>
  <c r="H41"/>
  <c r="H42"/>
  <c r="H43"/>
  <c r="H44"/>
  <c r="H45"/>
  <c r="H46"/>
  <c r="H47"/>
  <c r="H48"/>
  <c r="H49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97"/>
  <c r="H98"/>
  <c r="H99"/>
  <c r="H100" l="1"/>
  <c r="H101" s="1"/>
  <c r="H103" l="1"/>
</calcChain>
</file>

<file path=xl/sharedStrings.xml><?xml version="1.0" encoding="utf-8"?>
<sst xmlns="http://schemas.openxmlformats.org/spreadsheetml/2006/main" count="115" uniqueCount="113">
  <si>
    <t>Référence</t>
  </si>
  <si>
    <t>Description</t>
  </si>
  <si>
    <t>Prix</t>
  </si>
  <si>
    <t>Quantité</t>
  </si>
  <si>
    <t>Sous-total</t>
  </si>
  <si>
    <t xml:space="preserve">Moins acompte déjà versé </t>
  </si>
  <si>
    <t>Total de la facture</t>
  </si>
  <si>
    <t>Montant</t>
  </si>
  <si>
    <t>LIBRAIRIE AL HABACHI</t>
  </si>
  <si>
    <t>HAY ALAMAL 09JUILLET N°46 SETTAT</t>
  </si>
  <si>
    <t>elim.technique@gmail.com</t>
  </si>
  <si>
    <t>05 23 40 65 36</t>
  </si>
  <si>
    <t>REMISE  :</t>
  </si>
  <si>
    <t>مكتبة الحبشي</t>
  </si>
  <si>
    <t>نبيل حبشي</t>
  </si>
  <si>
    <t>حي الامل شارع يوليوز رقم 46 سطات</t>
  </si>
  <si>
    <t>26000 سطات</t>
  </si>
  <si>
    <t>RIVE BLEUES</t>
  </si>
  <si>
    <t xml:space="preserve">L'arbre aux mots 6e </t>
  </si>
  <si>
    <t>l'arbre aux mots CE6.cahier d'avtivités</t>
  </si>
  <si>
    <t>Mot de Passe Français CE2 - Cahier élève</t>
  </si>
  <si>
    <t>Mot de Passe Français CE2</t>
  </si>
  <si>
    <t>Apostro' Sciences CM2</t>
  </si>
  <si>
    <t>Apostro' Sciences CP</t>
  </si>
  <si>
    <t>La Source du Français CP - Cahier d'activités 1-2</t>
  </si>
  <si>
    <t>Arc-en-ciel CE1 Lecture</t>
  </si>
  <si>
    <t>Arc-en-ciel CP Lecture</t>
  </si>
  <si>
    <t>ARCHIPEL MATHS 6E ANNEE</t>
  </si>
  <si>
    <t>ARCHIPEL MATHS 5E ANNEE</t>
  </si>
  <si>
    <t>L'univers de SVT 3AC - Manuel </t>
  </si>
  <si>
    <t>L'univers de Physique-Chimie 3AC</t>
  </si>
  <si>
    <t>L'univers des Maths 2AC - Manuel</t>
  </si>
  <si>
    <t>Mon Labo en Informatique Et Robotique - CM2</t>
  </si>
  <si>
    <t>Calculator Maths CM1</t>
  </si>
  <si>
    <t>OBJECTIF : MATHS CM1</t>
  </si>
  <si>
    <t>Objectif Maths CE1 |</t>
  </si>
  <si>
    <t>Croque Maths CP</t>
  </si>
  <si>
    <t>Croque - maths CE1</t>
  </si>
  <si>
    <t>Esprit SVT 2ème année collège </t>
  </si>
  <si>
    <t>Cap Sciences CM1</t>
  </si>
  <si>
    <t>Panorama Maths 3AC </t>
  </si>
  <si>
    <t>MATHS.COM Plus 2eAC Collège</t>
  </si>
  <si>
    <t>AL MOUFID En CHIMIE 1 COLLEGE</t>
  </si>
  <si>
    <t>AL MOUFID PHYSIQUE CHIMIE tronc commun</t>
  </si>
  <si>
    <t>ACCRO MATHS CP</t>
  </si>
  <si>
    <t>ACCRO MATHS CE1</t>
  </si>
  <si>
    <t>ACCRO SCIENCES CM1</t>
  </si>
  <si>
    <t>Accro sciences CM2</t>
  </si>
  <si>
    <t>Accro sciences 6eme</t>
  </si>
  <si>
    <t>Parcours mathématiques 2AC Livre de l'élève</t>
  </si>
  <si>
    <t>Etincelle SVT 3 AC - Activités</t>
  </si>
  <si>
    <t>HORIWON INFORMQTIQUE 1</t>
  </si>
  <si>
    <t>HORIWON INFORMQTIQUE 2</t>
  </si>
  <si>
    <t>HORIWON INFORMQTIQUE 3</t>
  </si>
  <si>
    <t xml:space="preserve">                           Français</t>
  </si>
  <si>
    <t>L'arbre aux mots CM2</t>
  </si>
  <si>
    <t>l'arbre aux mots CM2.cahier d'avtivités</t>
  </si>
  <si>
    <t>l'arbre aux mots CE2</t>
  </si>
  <si>
    <t>l'arbre aux mots CE2.cahier d'avtivités</t>
  </si>
  <si>
    <t>LE FRANCAIS COQUELICOT CM</t>
  </si>
  <si>
    <t>LE FRANCAIS COQUELICOT CM2+ Activité</t>
  </si>
  <si>
    <t>LE FRANCAIS AU QUOTIDIEN CE6+activité</t>
  </si>
  <si>
    <t>Mot de Passe Français CE1 - Cahier élève</t>
  </si>
  <si>
    <t xml:space="preserve">Mot de Passe Français CE1 - </t>
  </si>
  <si>
    <t xml:space="preserve"> CROAUE-FEUILLES CE2</t>
  </si>
  <si>
    <t>CROAUE-FEUILLES CE6</t>
  </si>
  <si>
    <t>La Source du Français CP - Manuel </t>
  </si>
  <si>
    <t xml:space="preserve">La Source du Français CM2 - Cahier d'activités </t>
  </si>
  <si>
    <t>ARCHIPEL MATHS CE1 ANNEE</t>
  </si>
  <si>
    <t>ABC en SCIENCES 5</t>
  </si>
  <si>
    <t>Mon Labo en Sciences - CE1</t>
  </si>
  <si>
    <t>Mon Labo en Informatique Et Robotique - CM1</t>
  </si>
  <si>
    <t>Calculator Maths CM2</t>
  </si>
  <si>
    <t>Je Progresse en MATHS  CE1</t>
  </si>
  <si>
    <t>ARCHIPEL DE PHYSIQUE CHIMIE TRONC COMMUN</t>
  </si>
  <si>
    <t>Croque - maths CM1</t>
  </si>
  <si>
    <t>Esprit PHYSIQE2ème</t>
  </si>
  <si>
    <t>Esprit SVT 2ème MANUEL</t>
  </si>
  <si>
    <t>Esprit des maths CE1</t>
  </si>
  <si>
    <t>Esprit MATHS 3ème MANUEL</t>
  </si>
  <si>
    <t>L'univers de SVT 2AC - Manuel</t>
  </si>
  <si>
    <t>CDPL PHYSIQUE TRONC COMMUN</t>
  </si>
  <si>
    <t>MAXI MATHS tronc commun</t>
  </si>
  <si>
    <t>Etincelle SVT 1BAC - Activités</t>
  </si>
  <si>
    <t>ACCRO MATHS CE2</t>
  </si>
  <si>
    <t>MATHS.COM Plus 3eAC Collège</t>
  </si>
  <si>
    <t>SVT.COM Plus 1eAC Collège</t>
  </si>
  <si>
    <t>SIGMA TC BIOF</t>
  </si>
  <si>
    <t>MAXI MATHS 1 AC Matimatique</t>
  </si>
  <si>
    <t>MAXI MATHS 2 AC Matimatique</t>
  </si>
  <si>
    <t>MAXI MATHS 3 AC Matimatique</t>
  </si>
  <si>
    <t>SCIENCE AU QUOTIDIEN CM1</t>
  </si>
  <si>
    <t>LA REUSSITE DE MATIMATIQUE 1</t>
  </si>
  <si>
    <t>LA REUSSITE DE MATIMATIQUE 5</t>
  </si>
  <si>
    <t>A NOUS LES MATHS CE2</t>
  </si>
  <si>
    <t>POUR COMPRENDRE LES MATHS CE1</t>
  </si>
  <si>
    <t xml:space="preserve">RADAR Français </t>
  </si>
  <si>
    <t>MES PREMIERES LETTRES</t>
  </si>
  <si>
    <t>MON EVEIL SCIENTIFIQUE CE1</t>
  </si>
  <si>
    <t>Arc-en-ciel CP CAHIER ECRITURE</t>
  </si>
  <si>
    <t>CAHIER D'ECRITURE CP</t>
  </si>
  <si>
    <t>MON GRAND LABO</t>
  </si>
  <si>
    <t>Etincelle 1ére SVT</t>
  </si>
  <si>
    <t xml:space="preserve">Etincelle 1ér MATHS </t>
  </si>
  <si>
    <t>Etincelle 2ére SVT</t>
  </si>
  <si>
    <t>Etincelle 2ére MATHS</t>
  </si>
  <si>
    <t>Etincelle 3ére SVT</t>
  </si>
  <si>
    <t>Etincelle 3ére MATHS</t>
  </si>
  <si>
    <t>UNIVERS SVT + PC</t>
  </si>
  <si>
    <t xml:space="preserve">UNIVERS MATHS </t>
  </si>
  <si>
    <t>ALMOUFID SVT</t>
  </si>
  <si>
    <t>ALMOUFID MATHS</t>
  </si>
  <si>
    <t>ALMOUFID PC</t>
  </si>
</sst>
</file>

<file path=xl/styles.xml><?xml version="1.0" encoding="utf-8"?>
<styleSheet xmlns="http://schemas.openxmlformats.org/spreadsheetml/2006/main">
  <numFmts count="8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(* #,##0_);_(* \(#,##0\);_(* &quot;-&quot;_);_(@_)"/>
    <numFmt numFmtId="165" formatCode="0.0%"/>
    <numFmt numFmtId="166" formatCode="#,##0_ ;\-#,##0\ "/>
    <numFmt numFmtId="167" formatCode="0#&quot; &quot;##&quot; &quot;##&quot; &quot;##&quot; &quot;##"/>
    <numFmt numFmtId="168" formatCode="_-* #,##0.00\ [$€-40C]_-;\-* #,##0.00\ [$€-40C]_-;_-* &quot;-&quot;??\ [$€-40C]_-;_-@_-"/>
    <numFmt numFmtId="169" formatCode="#,##0.00_ ;\-#,##0.00\ "/>
  </numFmts>
  <fonts count="29">
    <font>
      <sz val="11"/>
      <color theme="1"/>
      <name val="Arial"/>
      <family val="2"/>
      <scheme val="minor"/>
    </font>
    <font>
      <sz val="9"/>
      <name val="Arial"/>
      <family val="2"/>
    </font>
    <font>
      <b/>
      <sz val="11"/>
      <color theme="1"/>
      <name val="Arial"/>
      <family val="2"/>
      <scheme val="minor"/>
    </font>
    <font>
      <b/>
      <sz val="20"/>
      <color theme="4"/>
      <name val="Arial"/>
      <family val="2"/>
      <scheme val="major"/>
    </font>
    <font>
      <b/>
      <sz val="20"/>
      <color theme="1"/>
      <name val="Arial"/>
      <family val="2"/>
      <scheme val="minor"/>
    </font>
    <font>
      <sz val="11"/>
      <color theme="4" tint="-0.24994659260841701"/>
      <name val="Arial"/>
      <family val="2"/>
      <scheme val="minor"/>
    </font>
    <font>
      <b/>
      <sz val="22"/>
      <color theme="4"/>
      <name val="Arial"/>
      <family val="2"/>
      <scheme val="minor"/>
    </font>
    <font>
      <b/>
      <sz val="11"/>
      <color theme="4" tint="-0.2499465926084170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1"/>
      <color rgb="FF00B050"/>
      <name val="Arial"/>
      <family val="2"/>
      <scheme val="minor"/>
    </font>
    <font>
      <b/>
      <sz val="11"/>
      <color rgb="FF0070C0"/>
      <name val="Arial"/>
      <family val="2"/>
      <scheme val="minor"/>
    </font>
    <font>
      <b/>
      <sz val="11"/>
      <color theme="4"/>
      <name val="Arial"/>
      <family val="2"/>
      <scheme val="minor"/>
    </font>
    <font>
      <b/>
      <sz val="11"/>
      <color rgb="FF002060"/>
      <name val="Arial"/>
      <family val="2"/>
      <scheme val="minor"/>
    </font>
    <font>
      <b/>
      <sz val="14"/>
      <color rgb="FF7030A0"/>
      <name val="Arial"/>
      <family val="2"/>
      <scheme val="minor"/>
    </font>
    <font>
      <b/>
      <sz val="20"/>
      <color rgb="FF7030A0"/>
      <name val="Arial"/>
      <family val="2"/>
      <scheme val="minor"/>
    </font>
    <font>
      <sz val="11"/>
      <color theme="4"/>
      <name val="Arial"/>
      <family val="2"/>
      <scheme val="minor"/>
    </font>
    <font>
      <sz val="11"/>
      <color theme="4"/>
      <name val="Arial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 style="thick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2">
    <xf numFmtId="0" fontId="0" fillId="0" borderId="0">
      <alignment horizontal="left" vertical="center" wrapText="1" indent="1"/>
    </xf>
    <xf numFmtId="165" fontId="9" fillId="0" borderId="0" applyFont="0" applyFill="0" applyBorder="0" applyAlignment="0" applyProtection="0"/>
    <xf numFmtId="0" fontId="5" fillId="0" borderId="0">
      <alignment horizontal="left" vertical="center" wrapText="1"/>
    </xf>
    <xf numFmtId="0" fontId="5" fillId="0" borderId="0">
      <alignment horizontal="left" vertical="center" wrapText="1"/>
    </xf>
    <xf numFmtId="166" fontId="8" fillId="0" borderId="0" applyFont="0" applyFill="0" applyBorder="0" applyProtection="0">
      <alignment horizontal="right" vertical="center" indent="1"/>
    </xf>
    <xf numFmtId="164" fontId="8" fillId="0" borderId="0" applyFont="0" applyFill="0" applyBorder="0" applyAlignment="0" applyProtection="0"/>
    <xf numFmtId="44" fontId="8" fillId="0" borderId="5" applyFont="0" applyFill="0" applyAlignment="0" applyProtection="0"/>
    <xf numFmtId="44" fontId="8" fillId="0" borderId="6" applyFont="0" applyFill="0" applyAlignment="0" applyProtection="0"/>
    <xf numFmtId="0" fontId="3" fillId="0" borderId="1">
      <alignment horizontal="right" vertical="center" indent="1"/>
    </xf>
    <xf numFmtId="14" fontId="4" fillId="0" borderId="1">
      <alignment horizontal="left" vertical="center"/>
    </xf>
    <xf numFmtId="0" fontId="2" fillId="0" borderId="0">
      <alignment wrapText="1"/>
    </xf>
    <xf numFmtId="0" fontId="5" fillId="0" borderId="0">
      <alignment horizontal="left" vertical="center" wrapText="1"/>
    </xf>
    <xf numFmtId="0" fontId="6" fillId="0" borderId="2"/>
    <xf numFmtId="0" fontId="8" fillId="0" borderId="4">
      <alignment vertical="center"/>
    </xf>
    <xf numFmtId="0" fontId="2" fillId="0" borderId="0" applyNumberFormat="0" applyFill="0" applyBorder="0">
      <alignment horizontal="right"/>
    </xf>
    <xf numFmtId="0" fontId="7" fillId="0" borderId="0" applyNumberFormat="0" applyFill="0" applyBorder="0">
      <alignment horizontal="right"/>
    </xf>
    <xf numFmtId="0" fontId="8" fillId="0" borderId="1" applyNumberFormat="0" applyFont="0" applyFill="0" applyAlignment="0">
      <alignment wrapText="1"/>
    </xf>
    <xf numFmtId="167" fontId="8" fillId="0" borderId="0" applyFont="0" applyFill="0" applyBorder="0" applyAlignment="0">
      <alignment horizontal="left" vertical="center" wrapText="1" indent="1"/>
    </xf>
    <xf numFmtId="0" fontId="2" fillId="0" borderId="0" applyNumberFormat="0" applyFill="0" applyBorder="0" applyProtection="0">
      <alignment horizontal="right" vertical="center" indent="1"/>
    </xf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7" applyNumberFormat="0" applyAlignment="0" applyProtection="0"/>
    <xf numFmtId="0" fontId="14" fillId="6" borderId="7" applyNumberFormat="0" applyAlignment="0" applyProtection="0"/>
    <xf numFmtId="0" fontId="15" fillId="0" borderId="8" applyNumberFormat="0" applyFill="0" applyAlignment="0" applyProtection="0"/>
    <xf numFmtId="0" fontId="16" fillId="7" borderId="9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19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19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19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19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19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</cellStyleXfs>
  <cellXfs count="58">
    <xf numFmtId="0" fontId="0" fillId="0" borderId="0" xfId="0">
      <alignment horizontal="left" vertical="center" wrapText="1" indent="1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1" fillId="0" borderId="0" xfId="0" applyFont="1" applyBorder="1" applyAlignment="1">
      <alignment horizontal="right" vertical="center"/>
    </xf>
    <xf numFmtId="0" fontId="0" fillId="0" borderId="0" xfId="0">
      <alignment horizontal="left" vertical="center" wrapText="1" indent="1"/>
    </xf>
    <xf numFmtId="0" fontId="0" fillId="0" borderId="0" xfId="0">
      <alignment horizontal="left" vertical="center" wrapText="1" indent="1"/>
    </xf>
    <xf numFmtId="0" fontId="3" fillId="0" borderId="1" xfId="8">
      <alignment horizontal="right" vertical="center" indent="1"/>
    </xf>
    <xf numFmtId="0" fontId="2" fillId="0" borderId="0" xfId="10">
      <alignment wrapText="1"/>
    </xf>
    <xf numFmtId="0" fontId="0" fillId="0" borderId="0" xfId="0">
      <alignment horizontal="left" vertical="center" wrapText="1" indent="1"/>
    </xf>
    <xf numFmtId="0" fontId="0" fillId="0" borderId="0" xfId="0" applyFont="1" applyFill="1" applyBorder="1" applyAlignment="1">
      <alignment horizontal="left" vertical="center" indent="1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Border="1">
      <alignment horizontal="left" vertical="center" wrapText="1" indent="1"/>
    </xf>
    <xf numFmtId="0" fontId="2" fillId="0" borderId="0" xfId="14">
      <alignment horizontal="right"/>
    </xf>
    <xf numFmtId="0" fontId="5" fillId="0" borderId="0" xfId="11">
      <alignment horizontal="left" vertical="center" wrapText="1"/>
    </xf>
    <xf numFmtId="167" fontId="5" fillId="0" borderId="0" xfId="17" applyFont="1" applyAlignment="1">
      <alignment horizontal="left" vertical="center" wrapText="1"/>
    </xf>
    <xf numFmtId="0" fontId="2" fillId="0" borderId="0" xfId="18">
      <alignment horizontal="right" vertical="center" indent="1"/>
    </xf>
    <xf numFmtId="0" fontId="2" fillId="0" borderId="0" xfId="10">
      <alignment wrapText="1"/>
    </xf>
    <xf numFmtId="0" fontId="0" fillId="0" borderId="1" xfId="16" applyFont="1" applyAlignment="1">
      <alignment horizontal="left" vertical="center" wrapText="1" indent="1"/>
    </xf>
    <xf numFmtId="0" fontId="20" fillId="0" borderId="0" xfId="0" applyFont="1" applyBorder="1" applyAlignment="1">
      <alignment horizontal="center" vertical="center" wrapText="1"/>
    </xf>
    <xf numFmtId="0" fontId="20" fillId="0" borderId="0" xfId="0" applyFont="1" applyBorder="1">
      <alignment horizontal="left" vertical="center" wrapText="1" indent="1"/>
    </xf>
    <xf numFmtId="0" fontId="21" fillId="0" borderId="0" xfId="0" applyFont="1" applyBorder="1">
      <alignment horizontal="left" vertical="center" wrapText="1" indent="1"/>
    </xf>
    <xf numFmtId="0" fontId="22" fillId="0" borderId="0" xfId="0" applyFont="1" applyBorder="1" applyAlignment="1">
      <alignment horizontal="center" vertical="center" wrapText="1"/>
    </xf>
    <xf numFmtId="0" fontId="23" fillId="0" borderId="0" xfId="0" applyFont="1" applyBorder="1">
      <alignment horizontal="left" vertical="center" wrapText="1" indent="1"/>
    </xf>
    <xf numFmtId="0" fontId="24" fillId="0" borderId="0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0" fontId="25" fillId="0" borderId="0" xfId="11" applyFont="1" applyAlignment="1">
      <alignment horizontal="center" vertical="center" wrapText="1"/>
    </xf>
    <xf numFmtId="167" fontId="25" fillId="0" borderId="0" xfId="17" applyFont="1" applyAlignment="1">
      <alignment horizontal="center" vertical="center" wrapText="1"/>
    </xf>
    <xf numFmtId="0" fontId="25" fillId="0" borderId="0" xfId="10" applyFont="1" applyAlignment="1">
      <alignment horizontal="center" wrapText="1"/>
    </xf>
    <xf numFmtId="14" fontId="26" fillId="0" borderId="1" xfId="9" applyFont="1">
      <alignment horizontal="left" vertical="center"/>
    </xf>
    <xf numFmtId="43" fontId="0" fillId="0" borderId="5" xfId="6" applyNumberFormat="1" applyFont="1" applyAlignment="1">
      <alignment horizontal="left" vertical="center" wrapText="1" indent="1"/>
    </xf>
    <xf numFmtId="43" fontId="0" fillId="0" borderId="6" xfId="7" applyNumberFormat="1" applyFont="1" applyAlignment="1">
      <alignment horizontal="left" vertical="center" wrapText="1" indent="1"/>
    </xf>
    <xf numFmtId="0" fontId="0" fillId="0" borderId="0" xfId="0" applyBorder="1">
      <alignment horizontal="left" vertical="center" wrapText="1" indent="1"/>
    </xf>
    <xf numFmtId="0" fontId="9" fillId="0" borderId="0" xfId="0" applyFont="1" applyBorder="1" applyAlignment="1">
      <alignment horizontal="left" vertical="center" indent="1"/>
    </xf>
    <xf numFmtId="168" fontId="9" fillId="0" borderId="0" xfId="0" applyNumberFormat="1" applyFont="1" applyBorder="1" applyAlignment="1">
      <alignment vertical="center"/>
    </xf>
    <xf numFmtId="0" fontId="9" fillId="0" borderId="0" xfId="0" applyFont="1">
      <alignment horizontal="left" vertical="center" wrapText="1" indent="1"/>
    </xf>
    <xf numFmtId="43" fontId="9" fillId="0" borderId="5" xfId="0" applyNumberFormat="1" applyFont="1" applyFill="1" applyBorder="1" applyAlignment="1">
      <alignment horizontal="left" vertical="center" wrapText="1" indent="1"/>
    </xf>
    <xf numFmtId="0" fontId="27" fillId="0" borderId="0" xfId="0" applyFont="1" applyBorder="1" applyAlignment="1">
      <alignment horizontal="left" vertical="center" wrapText="1"/>
    </xf>
    <xf numFmtId="43" fontId="27" fillId="0" borderId="0" xfId="6" applyNumberFormat="1" applyFont="1" applyBorder="1" applyAlignment="1">
      <alignment horizontal="left" vertical="center"/>
    </xf>
    <xf numFmtId="166" fontId="27" fillId="0" borderId="0" xfId="4" applyFont="1" applyBorder="1" applyAlignment="1">
      <alignment horizontal="left" vertical="center" indent="1"/>
    </xf>
    <xf numFmtId="2" fontId="27" fillId="0" borderId="0" xfId="6" applyNumberFormat="1" applyFont="1" applyBorder="1" applyAlignment="1">
      <alignment horizontal="left" vertical="center"/>
    </xf>
    <xf numFmtId="0" fontId="27" fillId="0" borderId="0" xfId="2" applyFont="1" applyAlignment="1">
      <alignment horizontal="left" vertical="center" wrapText="1"/>
    </xf>
    <xf numFmtId="43" fontId="27" fillId="0" borderId="0" xfId="6" applyNumberFormat="1" applyFont="1" applyBorder="1" applyAlignment="1">
      <alignment horizontal="center" vertical="center"/>
    </xf>
    <xf numFmtId="43" fontId="27" fillId="0" borderId="5" xfId="6" applyNumberFormat="1" applyFont="1" applyFill="1" applyAlignment="1">
      <alignment horizontal="center" vertical="center"/>
    </xf>
    <xf numFmtId="2" fontId="27" fillId="0" borderId="5" xfId="6" applyNumberFormat="1" applyFont="1" applyFill="1" applyAlignment="1">
      <alignment horizontal="center" vertical="center"/>
    </xf>
    <xf numFmtId="169" fontId="27" fillId="0" borderId="5" xfId="6" applyNumberFormat="1" applyFont="1" applyFill="1" applyAlignment="1">
      <alignment horizontal="center" vertical="center"/>
    </xf>
    <xf numFmtId="14" fontId="4" fillId="0" borderId="1" xfId="9">
      <alignment horizontal="left" vertical="center"/>
    </xf>
    <xf numFmtId="0" fontId="3" fillId="0" borderId="1" xfId="8">
      <alignment horizontal="right" vertical="center" indent="1"/>
    </xf>
    <xf numFmtId="0" fontId="5" fillId="0" borderId="0" xfId="11">
      <alignment horizontal="left" vertical="center" wrapText="1"/>
    </xf>
    <xf numFmtId="0" fontId="7" fillId="0" borderId="0" xfId="15">
      <alignment horizontal="right"/>
    </xf>
    <xf numFmtId="0" fontId="2" fillId="0" borderId="0" xfId="14">
      <alignment horizontal="right"/>
    </xf>
    <xf numFmtId="0" fontId="2" fillId="0" borderId="0" xfId="10">
      <alignment wrapText="1"/>
    </xf>
    <xf numFmtId="165" fontId="0" fillId="0" borderId="0" xfId="1" applyFont="1" applyAlignment="1">
      <alignment horizontal="left" vertical="center" wrapText="1" indent="1"/>
    </xf>
    <xf numFmtId="0" fontId="5" fillId="0" borderId="0" xfId="11" applyBorder="1">
      <alignment horizontal="left" vertical="center" wrapText="1"/>
    </xf>
    <xf numFmtId="0" fontId="6" fillId="0" borderId="3" xfId="12" applyBorder="1"/>
    <xf numFmtId="0" fontId="28" fillId="0" borderId="0" xfId="2" applyFont="1" applyAlignment="1">
      <alignment horizontal="left" vertical="center" wrapText="1"/>
    </xf>
    <xf numFmtId="43" fontId="28" fillId="0" borderId="0" xfId="6" applyNumberFormat="1" applyFont="1" applyBorder="1" applyAlignment="1">
      <alignment horizontal="left" vertical="center"/>
    </xf>
    <xf numFmtId="166" fontId="28" fillId="0" borderId="0" xfId="4" applyFont="1" applyBorder="1" applyAlignment="1">
      <alignment horizontal="left" vertical="center" indent="1"/>
    </xf>
    <xf numFmtId="2" fontId="28" fillId="0" borderId="5" xfId="6" applyNumberFormat="1" applyFont="1" applyFill="1" applyAlignment="1">
      <alignment horizontal="center" vertical="center"/>
    </xf>
  </cellXfs>
  <cellStyles count="52">
    <cellStyle name="20 % - Accent1" xfId="29" builtinId="30" customBuiltin="1"/>
    <cellStyle name="20 % - Accent2" xfId="33" builtinId="34" customBuiltin="1"/>
    <cellStyle name="20 % - Accent3" xfId="37" builtinId="38" customBuiltin="1"/>
    <cellStyle name="20 % - Accent4" xfId="41" builtinId="42" customBuiltin="1"/>
    <cellStyle name="20 % - Accent5" xfId="45" builtinId="46" customBuiltin="1"/>
    <cellStyle name="20 % - Accent6" xfId="49" builtinId="50" customBuiltin="1"/>
    <cellStyle name="40 % - Accent1" xfId="30" builtinId="31" customBuiltin="1"/>
    <cellStyle name="40 % - Accent2" xfId="34" builtinId="35" customBuiltin="1"/>
    <cellStyle name="40 % - Accent3" xfId="38" builtinId="39" customBuiltin="1"/>
    <cellStyle name="40 % - Accent4" xfId="42" builtinId="43" customBuiltin="1"/>
    <cellStyle name="40 % - Accent5" xfId="46" builtinId="47" customBuiltin="1"/>
    <cellStyle name="40 % - Accent6" xfId="50" builtinId="51" customBuiltin="1"/>
    <cellStyle name="60 % - Accent1" xfId="31" builtinId="32" customBuiltin="1"/>
    <cellStyle name="60 % - Accent2" xfId="35" builtinId="36" customBuiltin="1"/>
    <cellStyle name="60 % - Accent3" xfId="39" builtinId="40" customBuiltin="1"/>
    <cellStyle name="60 % - Accent4" xfId="43" builtinId="44" customBuiltin="1"/>
    <cellStyle name="60 % - Accent5" xfId="47" builtinId="48" customBuiltin="1"/>
    <cellStyle name="60 % - Accent6" xfId="51" builtinId="52" customBuiltin="1"/>
    <cellStyle name="Accent1" xfId="28" builtinId="29" customBuiltin="1"/>
    <cellStyle name="Accent2" xfId="32" builtinId="33" customBuiltin="1"/>
    <cellStyle name="Accent3" xfId="36" builtinId="37" customBuiltin="1"/>
    <cellStyle name="Accent4" xfId="40" builtinId="41" customBuiltin="1"/>
    <cellStyle name="Accent5" xfId="44" builtinId="45" customBuiltin="1"/>
    <cellStyle name="Accent6" xfId="48" builtinId="49" customBuiltin="1"/>
    <cellStyle name="Avertissement" xfId="26" builtinId="11" customBuiltin="1"/>
    <cellStyle name="Calcul" xfId="23" builtinId="22" customBuiltin="1"/>
    <cellStyle name="Cellule liée" xfId="24" builtinId="24" customBuiltin="1"/>
    <cellStyle name="Commentaire" xfId="14" builtinId="10" customBuiltin="1"/>
    <cellStyle name="Entrée" xfId="22" builtinId="20" customBuiltin="1"/>
    <cellStyle name="Insatisfaisant" xfId="20" builtinId="27" customBuiltin="1"/>
    <cellStyle name="Lien hypertexte" xfId="2" builtinId="8" customBuiltin="1"/>
    <cellStyle name="Lien hypertexte visité" xfId="3" builtinId="9" customBuiltin="1"/>
    <cellStyle name="Milliers" xfId="4" builtinId="3" customBuiltin="1"/>
    <cellStyle name="Milliers [0]" xfId="5" builtinId="6" customBuiltin="1"/>
    <cellStyle name="Monétaire" xfId="6" builtinId="4" customBuiltin="1"/>
    <cellStyle name="Monétaire [0]" xfId="7" builtinId="7" customBuiltin="1"/>
    <cellStyle name="Neutre" xfId="21" builtinId="28" customBuiltin="1"/>
    <cellStyle name="Normal" xfId="0" builtinId="0" customBuiltin="1"/>
    <cellStyle name="Paiement dû à la réception" xfId="15"/>
    <cellStyle name="Pourcentage" xfId="1" builtinId="5" customBuiltin="1"/>
    <cellStyle name="Satisfaisant" xfId="19" builtinId="26" customBuiltin="1"/>
    <cellStyle name="Séparateur épais foncé" xfId="16"/>
    <cellStyle name="Sortie" xfId="13" builtinId="21" customBuiltin="1"/>
    <cellStyle name="Téléphone" xfId="17"/>
    <cellStyle name="Texte explicatif" xfId="27" builtinId="53" customBuiltin="1"/>
    <cellStyle name="Titre" xfId="8" builtinId="15" customBuiltin="1"/>
    <cellStyle name="Titre 1" xfId="9" builtinId="16" customBuiltin="1"/>
    <cellStyle name="Titre 2" xfId="10" builtinId="17" customBuiltin="1"/>
    <cellStyle name="Titre 3" xfId="11" builtinId="18" customBuiltin="1"/>
    <cellStyle name="Titre 4" xfId="12" builtinId="19" customBuiltin="1"/>
    <cellStyle name="Total" xfId="18" builtinId="25" customBuiltin="1"/>
    <cellStyle name="Vérification" xfId="25" builtinId="23" customBuiltin="1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minor"/>
      </font>
      <numFmt numFmtId="35" formatCode="_-* #,##0.00\ _€_-;\-* #,##0.00\ _€_-;_-* &quot;-&quot;??\ _€_-;_-@_-"/>
      <fill>
        <patternFill patternType="none">
          <fgColor indexed="64"/>
          <bgColor indexed="65"/>
        </patternFill>
      </fill>
      <alignment horizontal="left" vertical="center" textRotation="0" wrapText="1" indent="1" relativeIndent="0" justifyLastLine="0" shrinkToFit="0" mergeCell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minor"/>
      </font>
      <numFmt numFmtId="168" formatCode="_-* #,##0.00\ [$€-40C]_-;\-* #,##0.00\ [$€-40C]_-;_-* &quot;-&quot;??\ [$€-40C]_-;_-@_-"/>
      <alignment horizontal="general" vertical="center" textRotation="0" wrapText="0" indent="0" relativeIndent="0" justifyLastLine="0" shrinkToFit="0" mergeCell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minor"/>
      </font>
      <alignment horizontal="left" vertical="center" textRotation="0" wrapText="0" indent="1" relativeIndent="0" justifyLastLine="0" shrinkToFit="0" mergeCell="0" readingOrder="0"/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font>
        <b val="0"/>
        <strike val="0"/>
        <outline val="0"/>
        <shadow val="0"/>
        <u val="none"/>
        <vertAlign val="baseline"/>
        <sz val="11"/>
        <color theme="4"/>
        <name val="Arial"/>
        <scheme val="minor"/>
      </font>
      <alignment horizontal="center" vertical="center" textRotation="0" wrapText="0" indent="0" relativeIndent="255" justifyLastLine="0" shrinkToFit="0" mergeCell="0" readingOrder="0"/>
    </dxf>
    <dxf>
      <font>
        <b val="0"/>
        <strike val="0"/>
        <outline val="0"/>
        <shadow val="0"/>
        <u val="none"/>
        <vertAlign val="baseline"/>
        <sz val="11"/>
        <color theme="4"/>
        <name val="Arial"/>
        <scheme val="minor"/>
      </font>
      <alignment horizontal="left" vertical="center" textRotation="0" justifyLastLine="0" shrinkToFit="0" mergeCell="0" readingOrder="0"/>
    </dxf>
    <dxf>
      <font>
        <b val="0"/>
        <strike val="0"/>
        <outline val="0"/>
        <shadow val="0"/>
        <u val="none"/>
        <vertAlign val="baseline"/>
        <sz val="11"/>
        <color theme="4"/>
        <name val="Arial"/>
        <scheme val="minor"/>
      </font>
      <alignment horizontal="left" vertical="center" textRotation="0" justifyLastLine="0" shrinkToFit="0" mergeCell="0" readingOrder="0"/>
    </dxf>
    <dxf>
      <font>
        <b val="0"/>
        <strike val="0"/>
        <outline val="0"/>
        <shadow val="0"/>
        <u val="none"/>
        <vertAlign val="baseline"/>
        <sz val="11"/>
        <color theme="4"/>
        <name val="Arial"/>
        <scheme val="minor"/>
      </font>
      <alignment horizontal="left" vertical="center" textRotation="0" justifyLastLine="0" shrinkToFit="0" mergeCell="0" readingOrder="0"/>
    </dxf>
    <dxf>
      <font>
        <b/>
        <i val="0"/>
      </font>
      <border>
        <left style="thin">
          <color theme="1"/>
        </left>
        <right style="thin">
          <color theme="1"/>
        </right>
        <top style="thin">
          <color theme="1"/>
        </top>
        <bottom style="thick">
          <color theme="1"/>
        </bottom>
        <vertical style="thin">
          <color theme="1"/>
        </vertical>
      </border>
    </dxf>
    <dxf>
      <font>
        <b/>
        <i val="0"/>
      </font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</dxfs>
  <tableStyles count="1" defaultTableStyle="Facture" defaultPivotStyle="PivotStyleLight16">
    <tableStyle name="Facture" pivot="0" count="3">
      <tableStyleElement type="wholeTable" dxfId="11"/>
      <tableStyleElement type="headerRow" dxfId="10"/>
      <tableStyleElement type="totalRow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acture" displayName="Facture" ref="D4:H100" totalsRowCount="1">
  <tableColumns count="5">
    <tableColumn id="1" name="Référence" totalsRowDxfId="4"/>
    <tableColumn id="2" name="Description" totalsRowFunction="custom" dataDxfId="8" totalsRowDxfId="3">
      <totalsRowFormula>"Nombre total d’articles : "&amp;SUBTOTAL(103,[Description])</totalsRowFormula>
    </tableColumn>
    <tableColumn id="3" name="Prix" dataDxfId="7" totalsRowDxfId="2"/>
    <tableColumn id="4" name="Quantité" totalsRowLabel="Sous-total" dataDxfId="6" totalsRowDxfId="1"/>
    <tableColumn id="5" name="Montant" totalsRowFunction="sum" dataDxfId="5" totalsRowDxfId="0" dataCellStyle="Monétaire">
      <calculatedColumnFormula>IFERROR(Facture[[#This Row],[Prix]]*Facture[[#This Row],[Quantité]], "")</calculatedColumnFormula>
    </tableColumn>
  </tableColumns>
  <tableStyleInfo name="Facture" showFirstColumn="0" showLastColumn="0" showRowStripes="1" showColumnStripes="0"/>
</table>
</file>

<file path=xl/theme/theme1.xml><?xml version="1.0" encoding="utf-8"?>
<a:theme xmlns:a="http://schemas.openxmlformats.org/drawingml/2006/main" name="Invoice">
  <a:themeElements>
    <a:clrScheme name="Simple Invo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EF4623"/>
      </a:accent1>
      <a:accent2>
        <a:srgbClr val="DDDDDD"/>
      </a:accent2>
      <a:accent3>
        <a:srgbClr val="B2B2B2"/>
      </a:accent3>
      <a:accent4>
        <a:srgbClr val="969696"/>
      </a:accent4>
      <a:accent5>
        <a:srgbClr val="808080"/>
      </a:accent5>
      <a:accent6>
        <a:srgbClr val="5F5F5F"/>
      </a:accent6>
      <a:hlink>
        <a:srgbClr val="7F7F7F"/>
      </a:hlink>
      <a:folHlink>
        <a:srgbClr val="7F7F7F"/>
      </a:folHlink>
    </a:clrScheme>
    <a:fontScheme name="Arial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lmouggar.com/shop/product/apostro-sciences-cm2-2021-150902?page=5&amp;category=3112&amp;order=name_sort+asc" TargetMode="External"/><Relationship Id="rId13" Type="http://schemas.openxmlformats.org/officeDocument/2006/relationships/hyperlink" Target="https://www.almouggar.com/shop/product/arc-en-ciel-ce1-lecture-2020-9638" TargetMode="External"/><Relationship Id="rId18" Type="http://schemas.openxmlformats.org/officeDocument/2006/relationships/hyperlink" Target="https://almouggar.com/shop/product/l-univers-des-maths-2ac-manuel-de-l-eleve-2021-homologue-607604?category=3121" TargetMode="External"/><Relationship Id="rId26" Type="http://schemas.openxmlformats.org/officeDocument/2006/relationships/hyperlink" Target="https://www.almouggar.com/shop/product/nat124435-croque-maths-ce1-ed-2020-609313?page=3&amp;category=3114&amp;order=list_price+desc" TargetMode="External"/><Relationship Id="rId3" Type="http://schemas.openxmlformats.org/officeDocument/2006/relationships/hyperlink" Target="https://almouggar.com/shop/product/etincelle-svt-3-ac-activites-181832?page=3&amp;category=3163" TargetMode="External"/><Relationship Id="rId21" Type="http://schemas.openxmlformats.org/officeDocument/2006/relationships/hyperlink" Target="https://almouggar.com/shop/product/calcne4-calculator-maths-cm1-595076?page=2&amp;category=3116&amp;order=name_sort+asc" TargetMode="External"/><Relationship Id="rId34" Type="http://schemas.openxmlformats.org/officeDocument/2006/relationships/hyperlink" Target="https://mylibrairie.ma/fr/accueil/1763-accro-sciences-cm1-apm.html" TargetMode="External"/><Relationship Id="rId7" Type="http://schemas.openxmlformats.org/officeDocument/2006/relationships/hyperlink" Target="https://www.enseignants.hachette-education.com/livres/mot-passe-francais-ce2-livre-eleve-ed-2016-9782013941617" TargetMode="External"/><Relationship Id="rId12" Type="http://schemas.openxmlformats.org/officeDocument/2006/relationships/hyperlink" Target="https://www.almouggar.com/shop/product/698703-la-source-du-francais-cp-cahier-d-activites-2-598373" TargetMode="External"/><Relationship Id="rId17" Type="http://schemas.openxmlformats.org/officeDocument/2006/relationships/hyperlink" Target="https://almouggar.com/shop/product/l-univers-de-physique-chimie-3ac-manuel-de-l-eleve-2021-homologue-607605?page=3&amp;category=3121" TargetMode="External"/><Relationship Id="rId25" Type="http://schemas.openxmlformats.org/officeDocument/2006/relationships/hyperlink" Target="https://www.buroland.ma/produit/croque-maths-cp-cahier-eleve-2020-nathan/" TargetMode="External"/><Relationship Id="rId33" Type="http://schemas.openxmlformats.org/officeDocument/2006/relationships/hyperlink" Target="https://mylibrairie.ma/fr/accueil/1762-accro-maths-ce1-apm.html" TargetMode="External"/><Relationship Id="rId38" Type="http://schemas.openxmlformats.org/officeDocument/2006/relationships/table" Target="../tables/table1.xml"/><Relationship Id="rId2" Type="http://schemas.openxmlformats.org/officeDocument/2006/relationships/hyperlink" Target="https://www.almouggar.com/shop/product/698703-la-source-du-francais-cp-cahier-d-activites-2-598373" TargetMode="External"/><Relationship Id="rId16" Type="http://schemas.openxmlformats.org/officeDocument/2006/relationships/hyperlink" Target="https://www.almouggar.com/shop/product/l-univers-de-svt-3ac-manuel-de-l-eleve-2021-homologue-607601" TargetMode="External"/><Relationship Id="rId20" Type="http://schemas.openxmlformats.org/officeDocument/2006/relationships/hyperlink" Target="https://libraire.ma/livre/mon-labo-en-informatique-et-robotique-ce5/" TargetMode="External"/><Relationship Id="rId29" Type="http://schemas.openxmlformats.org/officeDocument/2006/relationships/hyperlink" Target="https://moncartable.ma/index.php?id_product=13231&amp;controller=product" TargetMode="External"/><Relationship Id="rId1" Type="http://schemas.openxmlformats.org/officeDocument/2006/relationships/hyperlink" Target="mailto:elim.technique@gmail.com" TargetMode="External"/><Relationship Id="rId6" Type="http://schemas.openxmlformats.org/officeDocument/2006/relationships/hyperlink" Target="https://www.enseignants.hachette-education.com/livres/mot-passe-francais-ce2-cahier-eleve-ed-2016-9782013941624" TargetMode="External"/><Relationship Id="rId11" Type="http://schemas.openxmlformats.org/officeDocument/2006/relationships/hyperlink" Target="https://www.almouggar.com/shop/product/la-source-du-francais-ce2-manuel-de-l-eleve-598366?page=3&amp;category=3115&amp;order=list_price+desc" TargetMode="External"/><Relationship Id="rId24" Type="http://schemas.openxmlformats.org/officeDocument/2006/relationships/hyperlink" Target="https://almouggar.com/shop/product/objectif-maths-ce1-610265" TargetMode="External"/><Relationship Id="rId32" Type="http://schemas.openxmlformats.org/officeDocument/2006/relationships/hyperlink" Target="https://mylibrairie.ma/fr/accueil/1761-accro-maths-cp-apm.html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https://unib.net.ma/products/le-francais-au-quotidien-ce1-cahier-dactivite" TargetMode="External"/><Relationship Id="rId15" Type="http://schemas.openxmlformats.org/officeDocument/2006/relationships/hyperlink" Target="https://mylibrairie.ma/fr/accueil/4555-archipel-maths-6e-annee-fichier-de-l-eleve.html" TargetMode="External"/><Relationship Id="rId23" Type="http://schemas.openxmlformats.org/officeDocument/2006/relationships/hyperlink" Target="https://www.darsoulami.ma/produit/objectif-maths-cm1/" TargetMode="External"/><Relationship Id="rId28" Type="http://schemas.openxmlformats.org/officeDocument/2006/relationships/hyperlink" Target="https://almouggar.com/shop/product/cap-sciences-cm1-ne-2022-620908" TargetMode="External"/><Relationship Id="rId36" Type="http://schemas.openxmlformats.org/officeDocument/2006/relationships/hyperlink" Target="https://www.lpmarocaine.com/ar/product/accro-sciences-6eme/" TargetMode="External"/><Relationship Id="rId10" Type="http://schemas.openxmlformats.org/officeDocument/2006/relationships/hyperlink" Target="https://www.almouggar.com/shop/product/apostro-sciences-ce1-598146?category=3114&amp;order=name+asc" TargetMode="External"/><Relationship Id="rId19" Type="http://schemas.openxmlformats.org/officeDocument/2006/relationships/hyperlink" Target="https://libraire.ma/livre/mon-labo-en-sciences-ce2/" TargetMode="External"/><Relationship Id="rId31" Type="http://schemas.openxmlformats.org/officeDocument/2006/relationships/hyperlink" Target="https://www.holimia.ma/produit/maths-com-plus-2eac-college-2020/" TargetMode="External"/><Relationship Id="rId4" Type="http://schemas.openxmlformats.org/officeDocument/2006/relationships/hyperlink" Target="https://www.almouggar.com/shop/product/parcours-mathematiques-2ac-livre-de-l-eleve-vise-par-le-ministere-de-l-education-nationale-546176" TargetMode="External"/><Relationship Id="rId9" Type="http://schemas.openxmlformats.org/officeDocument/2006/relationships/hyperlink" Target="https://www.almouggar.com/shop/product/127230-apostro-sciences-cp-2020-598147" TargetMode="External"/><Relationship Id="rId14" Type="http://schemas.openxmlformats.org/officeDocument/2006/relationships/hyperlink" Target="https://www.almouggar.com/shop/product/arc-en-ciel-ce1-lecture-2020-9638" TargetMode="External"/><Relationship Id="rId22" Type="http://schemas.openxmlformats.org/officeDocument/2006/relationships/hyperlink" Target="https://www.almouggar.com/shop/product/717714-je-progresse-en-science-et-technologie-ce1-546274" TargetMode="External"/><Relationship Id="rId27" Type="http://schemas.openxmlformats.org/officeDocument/2006/relationships/hyperlink" Target="https://almouggar.com/shop/product/9789920600109-esprit-svt-2eme-annee-college-manuel-598169?page=2&amp;category=3121" TargetMode="External"/><Relationship Id="rId30" Type="http://schemas.openxmlformats.org/officeDocument/2006/relationships/hyperlink" Target="https://mylibrairie.ma/fr/accueil/2000-mathematique-tronc-commun.html" TargetMode="External"/><Relationship Id="rId35" Type="http://schemas.openxmlformats.org/officeDocument/2006/relationships/hyperlink" Target="https://www.rentree-scolaire.ma/product/accro-sciences-cm2-apm-2017-edition-2017-editeur-sie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tabColor theme="4"/>
    <pageSetUpPr fitToPage="1"/>
  </sheetPr>
  <dimension ref="B1:L109"/>
  <sheetViews>
    <sheetView showGridLines="0" tabSelected="1" topLeftCell="A94" workbookViewId="0">
      <selection activeCell="K90" sqref="K90"/>
    </sheetView>
  </sheetViews>
  <sheetFormatPr baseColWidth="10" defaultColWidth="9" defaultRowHeight="31.5" customHeight="1"/>
  <cols>
    <col min="1" max="1" width="2.625" customWidth="1"/>
    <col min="2" max="2" width="25.625" customWidth="1"/>
    <col min="3" max="3" width="2.625" customWidth="1"/>
    <col min="4" max="4" width="15.625" customWidth="1"/>
    <col min="5" max="5" width="26.25" customWidth="1"/>
    <col min="6" max="7" width="13.625" customWidth="1"/>
    <col min="8" max="8" width="15.625" customWidth="1"/>
    <col min="9" max="9" width="2.625" customWidth="1"/>
  </cols>
  <sheetData>
    <row r="1" spans="2:12" s="4" customFormat="1" ht="60" customHeight="1" thickBot="1">
      <c r="B1" s="28" t="s">
        <v>13</v>
      </c>
      <c r="D1" s="45" t="s">
        <v>54</v>
      </c>
      <c r="E1" s="45"/>
      <c r="F1" s="46"/>
      <c r="G1" s="46"/>
      <c r="H1" s="6"/>
    </row>
    <row r="2" spans="2:12" ht="31.5" customHeight="1" thickTop="1">
      <c r="B2" s="7"/>
      <c r="D2" s="50"/>
      <c r="E2" s="50"/>
      <c r="F2" s="50"/>
      <c r="G2" s="50"/>
      <c r="H2" s="50"/>
    </row>
    <row r="3" spans="2:12" ht="31.5" customHeight="1">
      <c r="B3" s="25" t="s">
        <v>14</v>
      </c>
      <c r="D3" s="47"/>
      <c r="E3" s="47"/>
      <c r="F3" s="47"/>
      <c r="G3" s="47"/>
      <c r="H3" s="47"/>
    </row>
    <row r="4" spans="2:12" s="8" customFormat="1" ht="31.5" customHeight="1">
      <c r="B4" s="25" t="s">
        <v>13</v>
      </c>
      <c r="D4" s="9" t="s">
        <v>0</v>
      </c>
      <c r="E4" s="9" t="s">
        <v>1</v>
      </c>
      <c r="F4" s="10" t="s">
        <v>2</v>
      </c>
      <c r="G4" s="10" t="s">
        <v>3</v>
      </c>
      <c r="H4" s="10" t="s">
        <v>7</v>
      </c>
    </row>
    <row r="5" spans="2:12" s="4" customFormat="1" ht="31.5" customHeight="1">
      <c r="B5" s="25" t="s">
        <v>15</v>
      </c>
      <c r="C5"/>
      <c r="D5" s="18"/>
      <c r="E5" s="36" t="s">
        <v>17</v>
      </c>
      <c r="F5" s="37">
        <v>215</v>
      </c>
      <c r="G5" s="38">
        <v>1</v>
      </c>
      <c r="H5" s="41">
        <f>IFERROR(Facture[[#This Row],[Prix]]*Facture[[#This Row],[Quantité]], "")</f>
        <v>215</v>
      </c>
    </row>
    <row r="6" spans="2:12" ht="31.5" customHeight="1">
      <c r="B6" s="25" t="s">
        <v>16</v>
      </c>
      <c r="D6" s="11"/>
      <c r="E6" s="36" t="s">
        <v>18</v>
      </c>
      <c r="F6" s="37">
        <v>235</v>
      </c>
      <c r="G6" s="38">
        <v>6</v>
      </c>
      <c r="H6" s="41">
        <f>IFERROR(Facture[[#This Row],[Prix]]*Facture[[#This Row],[Quantité]], "")</f>
        <v>1410</v>
      </c>
    </row>
    <row r="7" spans="2:12" ht="31.5" customHeight="1">
      <c r="B7" s="26">
        <v>661892286</v>
      </c>
      <c r="D7" s="11"/>
      <c r="E7" s="36" t="s">
        <v>19</v>
      </c>
      <c r="F7" s="37">
        <v>135</v>
      </c>
      <c r="G7" s="38">
        <v>6</v>
      </c>
      <c r="H7" s="41">
        <f>IFERROR(Facture[[#This Row],[Prix]]*Facture[[#This Row],[Quantité]], "")</f>
        <v>810</v>
      </c>
    </row>
    <row r="8" spans="2:12" ht="31.5" customHeight="1">
      <c r="B8" s="27" t="s">
        <v>11</v>
      </c>
      <c r="D8" s="11"/>
      <c r="E8" s="36" t="s">
        <v>55</v>
      </c>
      <c r="F8" s="39">
        <v>198</v>
      </c>
      <c r="G8" s="38">
        <v>2</v>
      </c>
      <c r="H8" s="42">
        <f>IFERROR(Facture[[#This Row],[Prix]]*Facture[[#This Row],[Quantité]], "")</f>
        <v>396</v>
      </c>
      <c r="L8" s="8"/>
    </row>
    <row r="9" spans="2:12" ht="31.5" customHeight="1">
      <c r="B9" s="13"/>
      <c r="D9" s="11"/>
      <c r="E9" s="36" t="s">
        <v>56</v>
      </c>
      <c r="F9" s="39">
        <v>99</v>
      </c>
      <c r="G9" s="38">
        <v>2</v>
      </c>
      <c r="H9" s="42">
        <f>IFERROR(Facture[[#This Row],[Prix]]*Facture[[#This Row],[Quantité]], "")</f>
        <v>198</v>
      </c>
    </row>
    <row r="10" spans="2:12" ht="31.5" customHeight="1">
      <c r="B10" s="13"/>
      <c r="D10" s="11"/>
      <c r="E10" s="36" t="s">
        <v>57</v>
      </c>
      <c r="F10" s="39">
        <v>198</v>
      </c>
      <c r="G10" s="38">
        <v>1</v>
      </c>
      <c r="H10" s="42">
        <f>IFERROR(Facture[[#This Row],[Prix]]*Facture[[#This Row],[Quantité]], "")</f>
        <v>198</v>
      </c>
    </row>
    <row r="11" spans="2:12" s="5" customFormat="1" ht="31.5" customHeight="1">
      <c r="B11" s="13"/>
      <c r="D11" s="11"/>
      <c r="E11" s="36" t="s">
        <v>58</v>
      </c>
      <c r="F11" s="39">
        <v>99</v>
      </c>
      <c r="G11" s="38">
        <v>1</v>
      </c>
      <c r="H11" s="42">
        <f>IFERROR(Facture[[#This Row],[Prix]]*Facture[[#This Row],[Quantité]], "")</f>
        <v>99</v>
      </c>
    </row>
    <row r="12" spans="2:12" s="2" customFormat="1" ht="31.5" customHeight="1">
      <c r="B12" s="13"/>
      <c r="C12"/>
      <c r="D12" s="11"/>
      <c r="E12" s="36" t="s">
        <v>59</v>
      </c>
      <c r="F12" s="39">
        <v>145</v>
      </c>
      <c r="G12" s="38">
        <v>1</v>
      </c>
      <c r="H12" s="42">
        <f>IFERROR(Facture[[#This Row],[Prix]]*Facture[[#This Row],[Quantité]], "")</f>
        <v>145</v>
      </c>
    </row>
    <row r="13" spans="2:12" ht="31.5" customHeight="1">
      <c r="B13" s="14"/>
      <c r="D13" s="11"/>
      <c r="E13" s="36" t="s">
        <v>60</v>
      </c>
      <c r="F13" s="37">
        <v>255</v>
      </c>
      <c r="G13" s="38">
        <v>1</v>
      </c>
      <c r="H13" s="41">
        <f>IFERROR(Facture[[#This Row],[Prix]]*Facture[[#This Row],[Quantité]], "")</f>
        <v>255</v>
      </c>
    </row>
    <row r="14" spans="2:12" ht="31.5" customHeight="1" thickBot="1">
      <c r="B14" s="17"/>
      <c r="D14" s="18"/>
      <c r="E14" s="40" t="s">
        <v>61</v>
      </c>
      <c r="F14" s="37">
        <v>255</v>
      </c>
      <c r="G14" s="38">
        <v>1</v>
      </c>
      <c r="H14" s="41">
        <f>IFERROR(Facture[[#This Row],[Prix]]*Facture[[#This Row],[Quantité]], "")</f>
        <v>255</v>
      </c>
    </row>
    <row r="15" spans="2:12" ht="31.5" customHeight="1" thickTop="1">
      <c r="B15" s="16"/>
      <c r="D15" s="18"/>
      <c r="E15" s="40" t="s">
        <v>20</v>
      </c>
      <c r="F15" s="37">
        <v>105</v>
      </c>
      <c r="G15" s="38">
        <v>2</v>
      </c>
      <c r="H15" s="41">
        <f>IFERROR(Facture[[#This Row],[Prix]]*Facture[[#This Row],[Quantité]], "")</f>
        <v>210</v>
      </c>
    </row>
    <row r="16" spans="2:12" ht="31.5" customHeight="1">
      <c r="B16" s="13"/>
      <c r="D16" s="18"/>
      <c r="E16" s="40" t="s">
        <v>21</v>
      </c>
      <c r="F16" s="37">
        <v>198</v>
      </c>
      <c r="G16" s="38">
        <v>1</v>
      </c>
      <c r="H16" s="41">
        <f>IFERROR(Facture[[#This Row],[Prix]]*Facture[[#This Row],[Quantité]], "")</f>
        <v>198</v>
      </c>
    </row>
    <row r="17" spans="2:8" ht="31.5" customHeight="1">
      <c r="B17" s="50"/>
      <c r="D17" s="18"/>
      <c r="E17" s="40" t="s">
        <v>63</v>
      </c>
      <c r="F17" s="37">
        <v>198</v>
      </c>
      <c r="G17" s="38">
        <v>1</v>
      </c>
      <c r="H17" s="41">
        <f>IFERROR(Facture[[#This Row],[Prix]]*Facture[[#This Row],[Quantité]], "")</f>
        <v>198</v>
      </c>
    </row>
    <row r="18" spans="2:8" ht="31.5" customHeight="1">
      <c r="B18" s="50"/>
      <c r="D18" s="18"/>
      <c r="E18" s="40" t="s">
        <v>62</v>
      </c>
      <c r="F18" s="37">
        <v>98</v>
      </c>
      <c r="G18" s="38">
        <v>1</v>
      </c>
      <c r="H18" s="41">
        <f>IFERROR(Facture[[#This Row],[Prix]]*Facture[[#This Row],[Quantité]], "")</f>
        <v>98</v>
      </c>
    </row>
    <row r="19" spans="2:8" s="4" customFormat="1" ht="31.5" customHeight="1">
      <c r="B19" s="13"/>
      <c r="D19" s="18"/>
      <c r="E19" s="40" t="s">
        <v>22</v>
      </c>
      <c r="F19" s="37">
        <v>65</v>
      </c>
      <c r="G19" s="38">
        <v>1</v>
      </c>
      <c r="H19" s="41">
        <f>IFERROR(Facture[[#This Row],[Prix]]*Facture[[#This Row],[Quantité]], "")</f>
        <v>65</v>
      </c>
    </row>
    <row r="20" spans="2:8" s="4" customFormat="1" ht="31.5" customHeight="1">
      <c r="B20" s="14"/>
      <c r="C20" s="12"/>
      <c r="D20" s="18"/>
      <c r="E20" s="40" t="s">
        <v>23</v>
      </c>
      <c r="F20" s="37">
        <v>65</v>
      </c>
      <c r="G20" s="38">
        <v>1</v>
      </c>
      <c r="H20" s="41">
        <f>IFERROR(Facture[[#This Row],[Prix]]*Facture[[#This Row],[Quantité]], "")</f>
        <v>65</v>
      </c>
    </row>
    <row r="21" spans="2:8" ht="31.5" customHeight="1">
      <c r="B21" s="13"/>
      <c r="D21" s="18"/>
      <c r="E21" s="40" t="s">
        <v>65</v>
      </c>
      <c r="F21" s="37">
        <v>359</v>
      </c>
      <c r="G21" s="38">
        <v>1</v>
      </c>
      <c r="H21" s="41">
        <f>IFERROR(Facture[[#This Row],[Prix]]*Facture[[#This Row],[Quantité]], "")</f>
        <v>359</v>
      </c>
    </row>
    <row r="22" spans="2:8" ht="31.5" customHeight="1">
      <c r="D22" s="18"/>
      <c r="E22" s="36" t="s">
        <v>64</v>
      </c>
      <c r="F22" s="37">
        <v>359</v>
      </c>
      <c r="G22" s="38">
        <v>1</v>
      </c>
      <c r="H22" s="41">
        <f>IFERROR(Facture[[#This Row],[Prix]]*Facture[[#This Row],[Quantité]], "")</f>
        <v>359</v>
      </c>
    </row>
    <row r="23" spans="2:8" ht="31.5" customHeight="1">
      <c r="D23" s="18"/>
      <c r="E23" s="40" t="s">
        <v>87</v>
      </c>
      <c r="F23" s="37">
        <v>50</v>
      </c>
      <c r="G23" s="38">
        <v>3</v>
      </c>
      <c r="H23" s="41">
        <f>IFERROR(Facture[[#This Row],[Prix]]*Facture[[#This Row],[Quantité]], "")</f>
        <v>150</v>
      </c>
    </row>
    <row r="24" spans="2:8" ht="31.5" customHeight="1">
      <c r="D24" s="18"/>
      <c r="E24" s="40" t="s">
        <v>88</v>
      </c>
      <c r="F24" s="37">
        <v>48</v>
      </c>
      <c r="G24" s="38">
        <v>2</v>
      </c>
      <c r="H24" s="41">
        <f>IFERROR(Facture[[#This Row],[Prix]]*Facture[[#This Row],[Quantité]], "")</f>
        <v>96</v>
      </c>
    </row>
    <row r="25" spans="2:8" ht="31.5" customHeight="1">
      <c r="D25" s="19"/>
      <c r="E25" s="40" t="s">
        <v>89</v>
      </c>
      <c r="F25" s="37">
        <v>48</v>
      </c>
      <c r="G25" s="38">
        <v>2</v>
      </c>
      <c r="H25" s="41">
        <f>IFERROR(Facture[[#This Row],[Prix]]*Facture[[#This Row],[Quantité]], "")</f>
        <v>96</v>
      </c>
    </row>
    <row r="26" spans="2:8" ht="31.5" customHeight="1">
      <c r="D26" s="20"/>
      <c r="E26" s="40" t="s">
        <v>90</v>
      </c>
      <c r="F26" s="37">
        <v>48</v>
      </c>
      <c r="G26" s="38">
        <v>2</v>
      </c>
      <c r="H26" s="41">
        <f>IFERROR(Facture[[#This Row],[Prix]]*Facture[[#This Row],[Quantité]], "")</f>
        <v>96</v>
      </c>
    </row>
    <row r="27" spans="2:8" ht="31.5" customHeight="1">
      <c r="D27" s="20"/>
      <c r="E27" s="40" t="s">
        <v>91</v>
      </c>
      <c r="F27" s="37">
        <v>91</v>
      </c>
      <c r="G27" s="38">
        <v>2</v>
      </c>
      <c r="H27" s="41">
        <f>IFERROR(Facture[[#This Row],[Prix]]*Facture[[#This Row],[Quantité]], "")</f>
        <v>182</v>
      </c>
    </row>
    <row r="28" spans="2:8" ht="31.5" customHeight="1">
      <c r="D28" s="20"/>
      <c r="E28" s="40" t="s">
        <v>79</v>
      </c>
      <c r="F28" s="37">
        <v>130</v>
      </c>
      <c r="G28" s="38">
        <v>1</v>
      </c>
      <c r="H28" s="41">
        <f>IFERROR(Facture[[#This Row],[Prix]]*Facture[[#This Row],[Quantité]], "")</f>
        <v>130</v>
      </c>
    </row>
    <row r="29" spans="2:8" ht="31.5" customHeight="1">
      <c r="D29" s="20"/>
      <c r="E29" s="40" t="s">
        <v>67</v>
      </c>
      <c r="F29" s="37">
        <v>80</v>
      </c>
      <c r="G29" s="38">
        <v>1</v>
      </c>
      <c r="H29" s="41">
        <f>IFERROR(Facture[[#This Row],[Prix]]*Facture[[#This Row],[Quantité]], "")</f>
        <v>80</v>
      </c>
    </row>
    <row r="30" spans="2:8" ht="31.5" customHeight="1">
      <c r="D30" s="20"/>
      <c r="E30" s="40" t="s">
        <v>66</v>
      </c>
      <c r="F30" s="37">
        <v>130</v>
      </c>
      <c r="G30" s="38">
        <v>1</v>
      </c>
      <c r="H30" s="41">
        <f>IFERROR(Facture[[#This Row],[Prix]]*Facture[[#This Row],[Quantité]], "")</f>
        <v>130</v>
      </c>
    </row>
    <row r="31" spans="2:8" ht="31.5" customHeight="1">
      <c r="D31" s="20"/>
      <c r="E31" s="40" t="s">
        <v>24</v>
      </c>
      <c r="F31" s="37">
        <v>55</v>
      </c>
      <c r="G31" s="38">
        <v>3</v>
      </c>
      <c r="H31" s="41">
        <f>IFERROR(Facture[[#This Row],[Prix]]*Facture[[#This Row],[Quantité]], "")</f>
        <v>165</v>
      </c>
    </row>
    <row r="32" spans="2:8" ht="31.5" customHeight="1">
      <c r="D32" s="20"/>
      <c r="E32" s="40" t="s">
        <v>99</v>
      </c>
      <c r="F32" s="37">
        <v>25</v>
      </c>
      <c r="G32" s="38">
        <v>4</v>
      </c>
      <c r="H32" s="43">
        <f>IFERROR(Facture[[#This Row],[Prix]]*Facture[[#This Row],[Quantité]], "")</f>
        <v>100</v>
      </c>
    </row>
    <row r="33" spans="4:8" ht="31.5" customHeight="1">
      <c r="D33" s="20"/>
      <c r="E33" s="40" t="s">
        <v>25</v>
      </c>
      <c r="F33" s="37">
        <v>130</v>
      </c>
      <c r="G33" s="38">
        <v>4</v>
      </c>
      <c r="H33" s="41">
        <f>IFERROR(Facture[[#This Row],[Prix]]*Facture[[#This Row],[Quantité]], "")</f>
        <v>520</v>
      </c>
    </row>
    <row r="34" spans="4:8" ht="31.5" customHeight="1">
      <c r="D34" s="20"/>
      <c r="E34" s="40" t="s">
        <v>26</v>
      </c>
      <c r="F34" s="37">
        <v>155</v>
      </c>
      <c r="G34" s="38">
        <v>2</v>
      </c>
      <c r="H34" s="41">
        <f>IFERROR(Facture[[#This Row],[Prix]]*Facture[[#This Row],[Quantité]], "")</f>
        <v>310</v>
      </c>
    </row>
    <row r="35" spans="4:8" ht="31.5" customHeight="1">
      <c r="D35" s="20"/>
      <c r="E35" s="40" t="s">
        <v>78</v>
      </c>
      <c r="F35" s="37">
        <v>99</v>
      </c>
      <c r="G35" s="38">
        <v>2</v>
      </c>
      <c r="H35" s="41">
        <f>IFERROR(Facture[[#This Row],[Prix]]*Facture[[#This Row],[Quantité]], "")</f>
        <v>198</v>
      </c>
    </row>
    <row r="36" spans="4:8" ht="31.5" customHeight="1">
      <c r="D36" s="20"/>
      <c r="E36" s="40" t="s">
        <v>74</v>
      </c>
      <c r="F36" s="37">
        <v>175</v>
      </c>
      <c r="G36" s="38">
        <v>2</v>
      </c>
      <c r="H36" s="41">
        <f>IFERROR(Facture[[#This Row],[Prix]]*Facture[[#This Row],[Quantité]], "")</f>
        <v>350</v>
      </c>
    </row>
    <row r="37" spans="4:8" ht="31.5" customHeight="1">
      <c r="D37" s="20"/>
      <c r="E37" s="40" t="s">
        <v>27</v>
      </c>
      <c r="F37" s="37">
        <v>79</v>
      </c>
      <c r="G37" s="38">
        <v>1</v>
      </c>
      <c r="H37" s="41">
        <f>IFERROR(Facture[[#This Row],[Prix]]*Facture[[#This Row],[Quantité]], "")</f>
        <v>79</v>
      </c>
    </row>
    <row r="38" spans="4:8" ht="31.5" customHeight="1">
      <c r="D38" s="20"/>
      <c r="E38" s="36" t="s">
        <v>28</v>
      </c>
      <c r="F38" s="37">
        <v>79</v>
      </c>
      <c r="G38" s="38">
        <v>1</v>
      </c>
      <c r="H38" s="41">
        <f>IFERROR(Facture[[#This Row],[Prix]]*Facture[[#This Row],[Quantité]], "")</f>
        <v>79</v>
      </c>
    </row>
    <row r="39" spans="4:8" ht="31.5" customHeight="1">
      <c r="D39" s="21"/>
      <c r="E39" s="36" t="s">
        <v>68</v>
      </c>
      <c r="F39" s="37">
        <v>79</v>
      </c>
      <c r="G39" s="38">
        <v>2</v>
      </c>
      <c r="H39" s="41">
        <f>IFERROR(Facture[[#This Row],[Prix]]*Facture[[#This Row],[Quantité]], "")</f>
        <v>158</v>
      </c>
    </row>
    <row r="40" spans="4:8" ht="31.5" customHeight="1">
      <c r="D40" s="21"/>
      <c r="E40" s="40" t="s">
        <v>29</v>
      </c>
      <c r="F40" s="37">
        <v>155</v>
      </c>
      <c r="G40" s="38">
        <v>3</v>
      </c>
      <c r="H40" s="41">
        <f>IFERROR(Facture[[#This Row],[Prix]]*Facture[[#This Row],[Quantité]], "")</f>
        <v>465</v>
      </c>
    </row>
    <row r="41" spans="4:8" ht="31.5" customHeight="1">
      <c r="D41" s="21"/>
      <c r="E41" s="40" t="s">
        <v>30</v>
      </c>
      <c r="F41" s="37">
        <v>185</v>
      </c>
      <c r="G41" s="38">
        <v>3</v>
      </c>
      <c r="H41" s="41">
        <f>IFERROR(Facture[[#This Row],[Prix]]*Facture[[#This Row],[Quantité]], "")</f>
        <v>555</v>
      </c>
    </row>
    <row r="42" spans="4:8" ht="31.5" customHeight="1">
      <c r="D42" s="21"/>
      <c r="E42" s="40" t="s">
        <v>31</v>
      </c>
      <c r="F42" s="37">
        <v>169</v>
      </c>
      <c r="G42" s="38">
        <v>2</v>
      </c>
      <c r="H42" s="41">
        <f>IFERROR(Facture[[#This Row],[Prix]]*Facture[[#This Row],[Quantité]], "")</f>
        <v>338</v>
      </c>
    </row>
    <row r="43" spans="4:8" ht="31.5" customHeight="1">
      <c r="D43" s="21"/>
      <c r="E43" s="40" t="s">
        <v>80</v>
      </c>
      <c r="F43" s="37">
        <v>120</v>
      </c>
      <c r="G43" s="38">
        <v>2</v>
      </c>
      <c r="H43" s="41">
        <f>IFERROR(Facture[[#This Row],[Prix]]*Facture[[#This Row],[Quantité]], "")</f>
        <v>240</v>
      </c>
    </row>
    <row r="44" spans="4:8" ht="31.5" customHeight="1">
      <c r="D44" s="21"/>
      <c r="E44" s="40" t="s">
        <v>92</v>
      </c>
      <c r="F44" s="37">
        <v>65</v>
      </c>
      <c r="G44" s="38">
        <v>1</v>
      </c>
      <c r="H44" s="41">
        <f>IFERROR(Facture[[#This Row],[Prix]]*Facture[[#This Row],[Quantité]], "")</f>
        <v>65</v>
      </c>
    </row>
    <row r="45" spans="4:8" ht="31.5" customHeight="1">
      <c r="D45" s="21"/>
      <c r="E45" s="40" t="s">
        <v>93</v>
      </c>
      <c r="F45" s="37">
        <v>65</v>
      </c>
      <c r="G45" s="38">
        <v>1</v>
      </c>
      <c r="H45" s="41">
        <f>IFERROR(Facture[[#This Row],[Prix]]*Facture[[#This Row],[Quantité]], "")</f>
        <v>65</v>
      </c>
    </row>
    <row r="46" spans="4:8" ht="31.5" customHeight="1">
      <c r="D46" s="21"/>
      <c r="E46" s="36" t="s">
        <v>69</v>
      </c>
      <c r="F46" s="37">
        <v>75</v>
      </c>
      <c r="G46" s="38">
        <v>2</v>
      </c>
      <c r="H46" s="41">
        <f>IFERROR(Facture[[#This Row],[Prix]]*Facture[[#This Row],[Quantité]], "")</f>
        <v>150</v>
      </c>
    </row>
    <row r="47" spans="4:8" ht="31.5" customHeight="1">
      <c r="D47" s="21"/>
      <c r="E47" s="40" t="s">
        <v>70</v>
      </c>
      <c r="F47" s="37">
        <v>50</v>
      </c>
      <c r="G47" s="38">
        <v>1</v>
      </c>
      <c r="H47" s="41">
        <f>IFERROR(Facture[[#This Row],[Prix]]*Facture[[#This Row],[Quantité]], "")</f>
        <v>50</v>
      </c>
    </row>
    <row r="48" spans="4:8" ht="31.5" customHeight="1">
      <c r="D48" s="22"/>
      <c r="E48" s="40" t="s">
        <v>71</v>
      </c>
      <c r="F48" s="37">
        <v>50</v>
      </c>
      <c r="G48" s="38">
        <v>2</v>
      </c>
      <c r="H48" s="41">
        <f>IFERROR(Facture[[#This Row],[Prix]]*Facture[[#This Row],[Quantité]], "")</f>
        <v>100</v>
      </c>
    </row>
    <row r="49" spans="4:8" ht="31.5" customHeight="1">
      <c r="D49" s="22"/>
      <c r="E49" s="40" t="s">
        <v>32</v>
      </c>
      <c r="F49" s="37">
        <v>50</v>
      </c>
      <c r="G49" s="38">
        <v>1</v>
      </c>
      <c r="H49" s="41">
        <f>IFERROR(Facture[[#This Row],[Prix]]*Facture[[#This Row],[Quantité]], "")</f>
        <v>50</v>
      </c>
    </row>
    <row r="50" spans="4:8" ht="31.5" customHeight="1">
      <c r="D50" s="22"/>
      <c r="E50" s="40" t="s">
        <v>95</v>
      </c>
      <c r="F50" s="37">
        <v>110</v>
      </c>
      <c r="G50" s="38">
        <v>1</v>
      </c>
      <c r="H50" s="44">
        <f>IFERROR(Facture[[#This Row],[Prix]]*Facture[[#This Row],[Quantité]], "")</f>
        <v>110</v>
      </c>
    </row>
    <row r="51" spans="4:8" ht="31.5" customHeight="1">
      <c r="D51" s="22"/>
      <c r="E51" s="40" t="s">
        <v>94</v>
      </c>
      <c r="F51" s="37">
        <v>110</v>
      </c>
      <c r="G51" s="38">
        <v>1</v>
      </c>
      <c r="H51" s="41">
        <f>IFERROR(Facture[[#This Row],[Prix]]*Facture[[#This Row],[Quantité]], "")</f>
        <v>110</v>
      </c>
    </row>
    <row r="52" spans="4:8" ht="31.5" customHeight="1">
      <c r="D52" s="22"/>
      <c r="E52" s="40" t="s">
        <v>72</v>
      </c>
      <c r="F52" s="37">
        <v>90</v>
      </c>
      <c r="G52" s="38">
        <v>1</v>
      </c>
      <c r="H52" s="41">
        <f>IFERROR(Facture[[#This Row],[Prix]]*Facture[[#This Row],[Quantité]], "")</f>
        <v>90</v>
      </c>
    </row>
    <row r="53" spans="4:8" ht="31.5" customHeight="1">
      <c r="D53" s="22"/>
      <c r="E53" s="40" t="s">
        <v>33</v>
      </c>
      <c r="F53" s="37">
        <v>79</v>
      </c>
      <c r="G53" s="38">
        <v>1</v>
      </c>
      <c r="H53" s="41">
        <f>IFERROR(Facture[[#This Row],[Prix]]*Facture[[#This Row],[Quantité]], "")</f>
        <v>79</v>
      </c>
    </row>
    <row r="54" spans="4:8" ht="31.5" customHeight="1">
      <c r="D54" s="22"/>
      <c r="E54" s="40" t="s">
        <v>73</v>
      </c>
      <c r="F54" s="37">
        <v>75</v>
      </c>
      <c r="G54" s="38">
        <v>1</v>
      </c>
      <c r="H54" s="41">
        <f>IFERROR(Facture[[#This Row],[Prix]]*Facture[[#This Row],[Quantité]], "")</f>
        <v>75</v>
      </c>
    </row>
    <row r="55" spans="4:8" ht="31.5" customHeight="1">
      <c r="D55" s="22"/>
      <c r="E55" s="40" t="s">
        <v>34</v>
      </c>
      <c r="F55" s="37">
        <v>55</v>
      </c>
      <c r="G55" s="38">
        <v>1</v>
      </c>
      <c r="H55" s="41">
        <f>IFERROR(Facture[[#This Row],[Prix]]*Facture[[#This Row],[Quantité]], "")</f>
        <v>55</v>
      </c>
    </row>
    <row r="56" spans="4:8" ht="31.5" customHeight="1">
      <c r="D56" s="22"/>
      <c r="E56" s="40" t="s">
        <v>35</v>
      </c>
      <c r="F56" s="37">
        <v>55</v>
      </c>
      <c r="G56" s="38">
        <v>1</v>
      </c>
      <c r="H56" s="41">
        <f>IFERROR(Facture[[#This Row],[Prix]]*Facture[[#This Row],[Quantité]], "")</f>
        <v>55</v>
      </c>
    </row>
    <row r="57" spans="4:8" ht="31.5" customHeight="1">
      <c r="D57" s="22"/>
      <c r="E57" s="40" t="s">
        <v>75</v>
      </c>
      <c r="F57" s="37">
        <v>135</v>
      </c>
      <c r="G57" s="38">
        <v>1</v>
      </c>
      <c r="H57" s="41">
        <f>IFERROR(Facture[[#This Row],[Prix]]*Facture[[#This Row],[Quantité]], "")</f>
        <v>135</v>
      </c>
    </row>
    <row r="58" spans="4:8" ht="31.5" customHeight="1">
      <c r="D58" s="22"/>
      <c r="E58" s="40" t="s">
        <v>36</v>
      </c>
      <c r="F58" s="37">
        <v>102</v>
      </c>
      <c r="G58" s="38">
        <v>1</v>
      </c>
      <c r="H58" s="41">
        <f>IFERROR(Facture[[#This Row],[Prix]]*Facture[[#This Row],[Quantité]], "")</f>
        <v>102</v>
      </c>
    </row>
    <row r="59" spans="4:8" ht="31.5" customHeight="1">
      <c r="D59" s="22"/>
      <c r="E59" s="40" t="s">
        <v>37</v>
      </c>
      <c r="F59" s="37">
        <v>102</v>
      </c>
      <c r="G59" s="38">
        <v>1</v>
      </c>
      <c r="H59" s="41">
        <f>IFERROR(Facture[[#This Row],[Prix]]*Facture[[#This Row],[Quantité]], "")</f>
        <v>102</v>
      </c>
    </row>
    <row r="60" spans="4:8" ht="31.5" customHeight="1">
      <c r="D60" s="22"/>
      <c r="E60" s="40" t="s">
        <v>76</v>
      </c>
      <c r="F60" s="37">
        <v>50</v>
      </c>
      <c r="G60" s="38">
        <v>1</v>
      </c>
      <c r="H60" s="41">
        <f>IFERROR(Facture[[#This Row],[Prix]]*Facture[[#This Row],[Quantité]], "")</f>
        <v>50</v>
      </c>
    </row>
    <row r="61" spans="4:8" ht="31.5" customHeight="1">
      <c r="D61" s="22"/>
      <c r="E61" s="40" t="s">
        <v>77</v>
      </c>
      <c r="F61" s="37">
        <v>130</v>
      </c>
      <c r="G61" s="38">
        <v>1</v>
      </c>
      <c r="H61" s="41">
        <f>IFERROR(Facture[[#This Row],[Prix]]*Facture[[#This Row],[Quantité]], "")</f>
        <v>130</v>
      </c>
    </row>
    <row r="62" spans="4:8" ht="31.5" customHeight="1">
      <c r="D62" s="11"/>
      <c r="E62" s="40" t="s">
        <v>38</v>
      </c>
      <c r="F62" s="37">
        <v>50</v>
      </c>
      <c r="G62" s="38">
        <v>1</v>
      </c>
      <c r="H62" s="41">
        <f>IFERROR(Facture[[#This Row],[Prix]]*Facture[[#This Row],[Quantité]], "")</f>
        <v>50</v>
      </c>
    </row>
    <row r="63" spans="4:8" ht="31.5" customHeight="1">
      <c r="D63" s="23"/>
      <c r="E63" s="40" t="s">
        <v>39</v>
      </c>
      <c r="F63" s="37">
        <v>96</v>
      </c>
      <c r="G63" s="38">
        <v>1</v>
      </c>
      <c r="H63" s="41">
        <f>IFERROR(Facture[[#This Row],[Prix]]*Facture[[#This Row],[Quantité]], "")</f>
        <v>96</v>
      </c>
    </row>
    <row r="64" spans="4:8" ht="31.5" customHeight="1">
      <c r="D64" s="23"/>
      <c r="E64" s="40" t="s">
        <v>40</v>
      </c>
      <c r="F64" s="37">
        <v>48</v>
      </c>
      <c r="G64" s="38">
        <v>1</v>
      </c>
      <c r="H64" s="41">
        <f>IFERROR(Facture[[#This Row],[Prix]]*Facture[[#This Row],[Quantité]], "")</f>
        <v>48</v>
      </c>
    </row>
    <row r="65" spans="4:8" ht="31.5" customHeight="1">
      <c r="D65" s="23"/>
      <c r="E65" s="36" t="s">
        <v>81</v>
      </c>
      <c r="F65" s="37">
        <v>220</v>
      </c>
      <c r="G65" s="38">
        <v>1</v>
      </c>
      <c r="H65" s="41">
        <f>IFERROR(Facture[[#This Row],[Prix]]*Facture[[#This Row],[Quantité]], "")</f>
        <v>220</v>
      </c>
    </row>
    <row r="66" spans="4:8" ht="31.5" customHeight="1">
      <c r="D66" s="23"/>
      <c r="E66" s="40" t="s">
        <v>82</v>
      </c>
      <c r="F66" s="37">
        <v>145</v>
      </c>
      <c r="G66" s="38">
        <v>1</v>
      </c>
      <c r="H66" s="41">
        <f>IFERROR(Facture[[#This Row],[Prix]]*Facture[[#This Row],[Quantité]], "")</f>
        <v>145</v>
      </c>
    </row>
    <row r="67" spans="4:8" ht="31.5" customHeight="1">
      <c r="D67" s="23"/>
      <c r="E67" s="40" t="s">
        <v>86</v>
      </c>
      <c r="F67" s="37">
        <v>29</v>
      </c>
      <c r="G67" s="38">
        <v>1</v>
      </c>
      <c r="H67" s="41">
        <f>IFERROR(Facture[[#This Row],[Prix]]*Facture[[#This Row],[Quantité]], "")</f>
        <v>29</v>
      </c>
    </row>
    <row r="68" spans="4:8" ht="31.5" customHeight="1">
      <c r="D68" s="23"/>
      <c r="E68" s="40" t="s">
        <v>41</v>
      </c>
      <c r="F68" s="37">
        <v>44</v>
      </c>
      <c r="G68" s="38">
        <v>1</v>
      </c>
      <c r="H68" s="41">
        <f>IFERROR(Facture[[#This Row],[Prix]]*Facture[[#This Row],[Quantité]], "")</f>
        <v>44</v>
      </c>
    </row>
    <row r="69" spans="4:8" ht="31.5" customHeight="1">
      <c r="D69" s="23"/>
      <c r="E69" s="40" t="s">
        <v>85</v>
      </c>
      <c r="F69" s="37">
        <v>46</v>
      </c>
      <c r="G69" s="38">
        <v>1</v>
      </c>
      <c r="H69" s="41">
        <f>IFERROR(Facture[[#This Row],[Prix]]*Facture[[#This Row],[Quantité]], "")</f>
        <v>46</v>
      </c>
    </row>
    <row r="70" spans="4:8" ht="31.5" customHeight="1">
      <c r="D70" s="23"/>
      <c r="E70" s="36" t="s">
        <v>43</v>
      </c>
      <c r="F70" s="37">
        <v>65</v>
      </c>
      <c r="G70" s="38">
        <v>13</v>
      </c>
      <c r="H70" s="41">
        <f>IFERROR(Facture[[#This Row],[Prix]]*Facture[[#This Row],[Quantité]], "")</f>
        <v>845</v>
      </c>
    </row>
    <row r="71" spans="4:8" ht="31.5" customHeight="1">
      <c r="D71" s="24"/>
      <c r="E71" s="36" t="s">
        <v>42</v>
      </c>
      <c r="F71" s="37">
        <v>50</v>
      </c>
      <c r="G71" s="38">
        <v>8</v>
      </c>
      <c r="H71" s="41">
        <f>IFERROR(Facture[[#This Row],[Prix]]*Facture[[#This Row],[Quantité]], "")</f>
        <v>400</v>
      </c>
    </row>
    <row r="72" spans="4:8" ht="31.5" customHeight="1">
      <c r="D72" s="24"/>
      <c r="E72" s="40" t="s">
        <v>84</v>
      </c>
      <c r="F72" s="37">
        <v>45</v>
      </c>
      <c r="G72" s="38">
        <v>1</v>
      </c>
      <c r="H72" s="41">
        <f>IFERROR(Facture[[#This Row],[Prix]]*Facture[[#This Row],[Quantité]], "")</f>
        <v>45</v>
      </c>
    </row>
    <row r="73" spans="4:8" ht="31.5" customHeight="1">
      <c r="D73" s="24"/>
      <c r="E73" s="40" t="s">
        <v>44</v>
      </c>
      <c r="F73" s="37">
        <v>45</v>
      </c>
      <c r="G73" s="38">
        <v>4</v>
      </c>
      <c r="H73" s="41">
        <f>IFERROR(Facture[[#This Row],[Prix]]*Facture[[#This Row],[Quantité]], "")</f>
        <v>180</v>
      </c>
    </row>
    <row r="74" spans="4:8" ht="31.5" customHeight="1">
      <c r="D74" s="24"/>
      <c r="E74" s="40" t="s">
        <v>45</v>
      </c>
      <c r="F74" s="37">
        <v>45</v>
      </c>
      <c r="G74" s="38">
        <v>5</v>
      </c>
      <c r="H74" s="41">
        <f>IFERROR(Facture[[#This Row],[Prix]]*Facture[[#This Row],[Quantité]], "")</f>
        <v>225</v>
      </c>
    </row>
    <row r="75" spans="4:8" ht="31.5" customHeight="1">
      <c r="D75" s="24"/>
      <c r="E75" s="40" t="s">
        <v>46</v>
      </c>
      <c r="F75" s="37">
        <v>45</v>
      </c>
      <c r="G75" s="38">
        <v>1</v>
      </c>
      <c r="H75" s="41">
        <f>IFERROR(Facture[[#This Row],[Prix]]*Facture[[#This Row],[Quantité]], "")</f>
        <v>45</v>
      </c>
    </row>
    <row r="76" spans="4:8" ht="31.5" customHeight="1">
      <c r="D76" s="24"/>
      <c r="E76" s="40" t="s">
        <v>47</v>
      </c>
      <c r="F76" s="37">
        <v>45</v>
      </c>
      <c r="G76" s="38">
        <v>1</v>
      </c>
      <c r="H76" s="41">
        <f>IFERROR(Facture[[#This Row],[Prix]]*Facture[[#This Row],[Quantité]], "")</f>
        <v>45</v>
      </c>
    </row>
    <row r="77" spans="4:8" ht="31.5" customHeight="1">
      <c r="D77" s="24"/>
      <c r="E77" s="40" t="s">
        <v>48</v>
      </c>
      <c r="F77" s="37">
        <v>45</v>
      </c>
      <c r="G77" s="38">
        <v>2</v>
      </c>
      <c r="H77" s="41">
        <f>IFERROR(Facture[[#This Row],[Prix]]*Facture[[#This Row],[Quantité]], "")</f>
        <v>90</v>
      </c>
    </row>
    <row r="78" spans="4:8" ht="31.5" customHeight="1">
      <c r="D78" s="24"/>
      <c r="E78" s="40" t="s">
        <v>49</v>
      </c>
      <c r="F78" s="37">
        <v>48</v>
      </c>
      <c r="G78" s="38">
        <v>2</v>
      </c>
      <c r="H78" s="41">
        <f>IFERROR(Facture[[#This Row],[Prix]]*Facture[[#This Row],[Quantité]], "")</f>
        <v>96</v>
      </c>
    </row>
    <row r="79" spans="4:8" ht="31.5" customHeight="1">
      <c r="D79" s="24"/>
      <c r="E79" s="40" t="s">
        <v>83</v>
      </c>
      <c r="F79" s="37">
        <v>99</v>
      </c>
      <c r="G79" s="38">
        <v>1</v>
      </c>
      <c r="H79" s="42">
        <f>IFERROR(Facture[[#This Row],[Prix]]*Facture[[#This Row],[Quantité]], "")</f>
        <v>99</v>
      </c>
    </row>
    <row r="80" spans="4:8" ht="31.5" customHeight="1">
      <c r="D80" s="24"/>
      <c r="E80" s="40" t="s">
        <v>50</v>
      </c>
      <c r="F80" s="37">
        <v>85</v>
      </c>
      <c r="G80" s="38">
        <v>1</v>
      </c>
      <c r="H80" s="42">
        <f>IFERROR(Facture[[#This Row],[Prix]]*Facture[[#This Row],[Quantité]], "")</f>
        <v>85</v>
      </c>
    </row>
    <row r="81" spans="4:8" ht="31.5" customHeight="1">
      <c r="D81" s="24"/>
      <c r="E81" s="40" t="s">
        <v>96</v>
      </c>
      <c r="F81" s="37">
        <v>85</v>
      </c>
      <c r="G81" s="38">
        <v>1</v>
      </c>
      <c r="H81" s="43">
        <f>IFERROR(Facture[[#This Row],[Prix]]*Facture[[#This Row],[Quantité]], "")</f>
        <v>85</v>
      </c>
    </row>
    <row r="82" spans="4:8" ht="31.5" customHeight="1">
      <c r="D82" s="24"/>
      <c r="E82" s="40" t="s">
        <v>97</v>
      </c>
      <c r="F82" s="37">
        <v>47</v>
      </c>
      <c r="G82" s="38">
        <v>1</v>
      </c>
      <c r="H82" s="43">
        <f>IFERROR(Facture[[#This Row],[Prix]]*Facture[[#This Row],[Quantité]], "")</f>
        <v>47</v>
      </c>
    </row>
    <row r="83" spans="4:8" ht="31.5" customHeight="1">
      <c r="D83" s="24"/>
      <c r="E83" s="40" t="s">
        <v>100</v>
      </c>
      <c r="F83" s="37">
        <v>85</v>
      </c>
      <c r="G83" s="38">
        <v>1</v>
      </c>
      <c r="H83" s="43">
        <f>IFERROR(Facture[[#This Row],[Prix]]*Facture[[#This Row],[Quantité]], "")</f>
        <v>85</v>
      </c>
    </row>
    <row r="84" spans="4:8" ht="31.5" customHeight="1">
      <c r="D84" s="24"/>
      <c r="E84" s="40" t="s">
        <v>98</v>
      </c>
      <c r="F84" s="37">
        <v>75</v>
      </c>
      <c r="G84" s="38">
        <v>1</v>
      </c>
      <c r="H84" s="43">
        <f>IFERROR(Facture[[#This Row],[Prix]]*Facture[[#This Row],[Quantité]], "")</f>
        <v>75</v>
      </c>
    </row>
    <row r="85" spans="4:8" ht="31.5" customHeight="1">
      <c r="D85" s="24"/>
      <c r="E85" s="54" t="s">
        <v>102</v>
      </c>
      <c r="F85" s="55">
        <v>30</v>
      </c>
      <c r="G85" s="56">
        <v>5</v>
      </c>
      <c r="H85" s="57">
        <f>IFERROR(Facture[[#This Row],[Prix]]*Facture[[#This Row],[Quantité]], "")</f>
        <v>150</v>
      </c>
    </row>
    <row r="86" spans="4:8" ht="31.5" customHeight="1">
      <c r="D86" s="24"/>
      <c r="E86" s="54" t="s">
        <v>103</v>
      </c>
      <c r="F86" s="55">
        <v>40</v>
      </c>
      <c r="G86" s="56">
        <v>5</v>
      </c>
      <c r="H86" s="57">
        <f>IFERROR(Facture[[#This Row],[Prix]]*Facture[[#This Row],[Quantité]], "")</f>
        <v>200</v>
      </c>
    </row>
    <row r="87" spans="4:8" ht="31.5" customHeight="1">
      <c r="D87" s="24"/>
      <c r="E87" s="54" t="s">
        <v>104</v>
      </c>
      <c r="F87" s="55">
        <v>35</v>
      </c>
      <c r="G87" s="56">
        <v>6</v>
      </c>
      <c r="H87" s="57">
        <f>IFERROR(Facture[[#This Row],[Prix]]*Facture[[#This Row],[Quantité]], "")</f>
        <v>210</v>
      </c>
    </row>
    <row r="88" spans="4:8" ht="31.5" customHeight="1">
      <c r="D88" s="24"/>
      <c r="E88" s="54" t="s">
        <v>105</v>
      </c>
      <c r="F88" s="55">
        <v>40</v>
      </c>
      <c r="G88" s="56">
        <v>4</v>
      </c>
      <c r="H88" s="57">
        <f>IFERROR(Facture[[#This Row],[Prix]]*Facture[[#This Row],[Quantité]], "")</f>
        <v>160</v>
      </c>
    </row>
    <row r="89" spans="4:8" ht="31.5" customHeight="1">
      <c r="D89" s="24"/>
      <c r="E89" s="54" t="s">
        <v>106</v>
      </c>
      <c r="F89" s="55">
        <v>35</v>
      </c>
      <c r="G89" s="56">
        <v>3</v>
      </c>
      <c r="H89" s="57">
        <f>IFERROR(Facture[[#This Row],[Prix]]*Facture[[#This Row],[Quantité]], "")</f>
        <v>105</v>
      </c>
    </row>
    <row r="90" spans="4:8" ht="31.5" customHeight="1">
      <c r="D90" s="24"/>
      <c r="E90" s="54" t="s">
        <v>107</v>
      </c>
      <c r="F90" s="55">
        <v>40</v>
      </c>
      <c r="G90" s="56">
        <v>3</v>
      </c>
      <c r="H90" s="57">
        <f>IFERROR(Facture[[#This Row],[Prix]]*Facture[[#This Row],[Quantité]], "")</f>
        <v>120</v>
      </c>
    </row>
    <row r="91" spans="4:8" ht="31.5" customHeight="1">
      <c r="D91" s="24"/>
      <c r="E91" s="54" t="s">
        <v>108</v>
      </c>
      <c r="F91" s="55">
        <v>32</v>
      </c>
      <c r="G91" s="56">
        <v>7</v>
      </c>
      <c r="H91" s="57">
        <f>IFERROR(Facture[[#This Row],[Prix]]*Facture[[#This Row],[Quantité]], "")</f>
        <v>224</v>
      </c>
    </row>
    <row r="92" spans="4:8" ht="31.5" customHeight="1">
      <c r="D92" s="24"/>
      <c r="E92" s="54" t="s">
        <v>109</v>
      </c>
      <c r="F92" s="55">
        <v>40</v>
      </c>
      <c r="G92" s="56">
        <v>3</v>
      </c>
      <c r="H92" s="57">
        <f>IFERROR(Facture[[#This Row],[Prix]]*Facture[[#This Row],[Quantité]], "")</f>
        <v>120</v>
      </c>
    </row>
    <row r="93" spans="4:8" ht="31.5" customHeight="1">
      <c r="D93" s="24"/>
      <c r="E93" s="54" t="s">
        <v>110</v>
      </c>
      <c r="F93" s="55">
        <v>28</v>
      </c>
      <c r="G93" s="56">
        <v>5</v>
      </c>
      <c r="H93" s="57">
        <f>IFERROR(Facture[[#This Row],[Prix]]*Facture[[#This Row],[Quantité]], "")</f>
        <v>140</v>
      </c>
    </row>
    <row r="94" spans="4:8" ht="31.5" customHeight="1">
      <c r="D94" s="24"/>
      <c r="E94" s="54" t="s">
        <v>111</v>
      </c>
      <c r="F94" s="55">
        <v>49</v>
      </c>
      <c r="G94" s="56">
        <v>4</v>
      </c>
      <c r="H94" s="57">
        <f>IFERROR(Facture[[#This Row],[Prix]]*Facture[[#This Row],[Quantité]], "")</f>
        <v>196</v>
      </c>
    </row>
    <row r="95" spans="4:8" ht="31.5" customHeight="1">
      <c r="D95" s="24"/>
      <c r="E95" s="54" t="s">
        <v>112</v>
      </c>
      <c r="F95" s="55">
        <v>35</v>
      </c>
      <c r="G95" s="56">
        <v>8</v>
      </c>
      <c r="H95" s="57">
        <f>IFERROR(Facture[[#This Row],[Prix]]*Facture[[#This Row],[Quantité]], "")</f>
        <v>280</v>
      </c>
    </row>
    <row r="96" spans="4:8" ht="31.5" customHeight="1">
      <c r="D96" s="24"/>
      <c r="E96" s="40" t="s">
        <v>101</v>
      </c>
      <c r="F96" s="37">
        <v>40</v>
      </c>
      <c r="G96" s="38">
        <v>7</v>
      </c>
      <c r="H96" s="43">
        <f>IFERROR(Facture[[#This Row],[Prix]]*Facture[[#This Row],[Quantité]], "")</f>
        <v>280</v>
      </c>
    </row>
    <row r="97" spans="4:8" ht="31.5" customHeight="1">
      <c r="D97" s="24"/>
      <c r="E97" s="36" t="s">
        <v>51</v>
      </c>
      <c r="F97" s="37">
        <v>65</v>
      </c>
      <c r="G97" s="38">
        <v>2</v>
      </c>
      <c r="H97" s="42">
        <f>H7</f>
        <v>810</v>
      </c>
    </row>
    <row r="98" spans="4:8" ht="31.5" customHeight="1">
      <c r="D98" s="24"/>
      <c r="E98" s="36" t="s">
        <v>52</v>
      </c>
      <c r="F98" s="37">
        <v>65</v>
      </c>
      <c r="G98" s="38">
        <v>1</v>
      </c>
      <c r="H98" s="42">
        <f>IFERROR(Facture[[#This Row],[Prix]]*Facture[[#This Row],[Quantité]], "")</f>
        <v>65</v>
      </c>
    </row>
    <row r="99" spans="4:8" ht="31.5" customHeight="1">
      <c r="D99" s="24"/>
      <c r="E99" s="36" t="s">
        <v>53</v>
      </c>
      <c r="F99" s="37">
        <v>65</v>
      </c>
      <c r="G99" s="38">
        <v>1</v>
      </c>
      <c r="H99" s="42">
        <f>IFERROR(Facture[[#This Row],[Prix]]*Facture[[#This Row],[Quantité]], "")</f>
        <v>65</v>
      </c>
    </row>
    <row r="100" spans="4:8" ht="31.5" customHeight="1">
      <c r="D100" s="31"/>
      <c r="E100" s="32" t="str">
        <f>"Nombre total d’articles : "&amp;SUBTOTAL(103,[Description])</f>
        <v>Nombre total d’articles : 95</v>
      </c>
      <c r="F100" s="33"/>
      <c r="G100" s="34" t="s">
        <v>4</v>
      </c>
      <c r="H100" s="35">
        <f>SUBTOTAL(109,[Montant])</f>
        <v>17873</v>
      </c>
    </row>
    <row r="101" spans="4:8" ht="31.5" customHeight="1">
      <c r="D101" s="15" t="s">
        <v>12</v>
      </c>
      <c r="E101" s="51">
        <v>-0.2</v>
      </c>
      <c r="F101" s="51"/>
      <c r="G101" s="15"/>
      <c r="H101" s="29">
        <f>IFERROR(IF(TauxTVA=0,0,Facture[[#Totals],[Montant]]*TauxTVA), "")</f>
        <v>-3574.6000000000004</v>
      </c>
    </row>
    <row r="102" spans="4:8" ht="31.5" customHeight="1">
      <c r="D102" s="3"/>
      <c r="E102" s="1"/>
      <c r="G102" s="15" t="s">
        <v>5</v>
      </c>
      <c r="H102" s="29">
        <v>0</v>
      </c>
    </row>
    <row r="103" spans="4:8" ht="31.5" customHeight="1" thickBot="1">
      <c r="E103" s="1"/>
      <c r="G103" s="15" t="s">
        <v>6</v>
      </c>
      <c r="H103" s="30">
        <f>IFERROR((Facture[[#Totals],[Montant]]+TVA)-Acompte, "")</f>
        <v>14298.4</v>
      </c>
    </row>
    <row r="104" spans="4:8" ht="31.5" customHeight="1" thickTop="1">
      <c r="D104" s="48"/>
      <c r="E104" s="48"/>
      <c r="F104" s="48"/>
      <c r="G104" s="48"/>
      <c r="H104" s="48"/>
    </row>
    <row r="105" spans="4:8" ht="31.5" customHeight="1">
      <c r="D105" s="49"/>
      <c r="E105" s="49"/>
      <c r="F105" s="49"/>
      <c r="G105" s="49"/>
      <c r="H105" s="49"/>
    </row>
    <row r="106" spans="4:8" ht="31.5" customHeight="1" thickBot="1"/>
    <row r="107" spans="4:8" ht="31.5" customHeight="1" thickTop="1">
      <c r="D107" s="53" t="s">
        <v>8</v>
      </c>
      <c r="E107" s="53"/>
      <c r="F107" s="53"/>
      <c r="G107" s="53"/>
      <c r="H107" s="53"/>
    </row>
    <row r="108" spans="4:8" ht="31.5" customHeight="1">
      <c r="D108" s="14">
        <v>661892286</v>
      </c>
      <c r="E108" s="52" t="s">
        <v>9</v>
      </c>
      <c r="F108" s="52"/>
      <c r="G108" s="52"/>
      <c r="H108" s="52"/>
    </row>
    <row r="109" spans="4:8" ht="31.5" customHeight="1">
      <c r="D109" s="14" t="s">
        <v>11</v>
      </c>
      <c r="E109" s="47">
        <v>26000</v>
      </c>
      <c r="F109" s="47"/>
      <c r="G109" s="52" t="s">
        <v>10</v>
      </c>
      <c r="H109" s="52"/>
    </row>
  </sheetData>
  <dataConsolidate/>
  <mergeCells count="13">
    <mergeCell ref="G108:H108"/>
    <mergeCell ref="G109:H109"/>
    <mergeCell ref="E108:F108"/>
    <mergeCell ref="E109:F109"/>
    <mergeCell ref="B17:B18"/>
    <mergeCell ref="D107:H107"/>
    <mergeCell ref="D1:E1"/>
    <mergeCell ref="F1:G1"/>
    <mergeCell ref="D3:H3"/>
    <mergeCell ref="D104:H104"/>
    <mergeCell ref="D105:H105"/>
    <mergeCell ref="D2:H2"/>
    <mergeCell ref="E101:F101"/>
  </mergeCells>
  <phoneticPr fontId="0" type="noConversion"/>
  <dataValidations xWindow="171" yWindow="619" count="47">
    <dataValidation allowBlank="1" showInputMessage="1" showErrorMessage="1" prompt="Entrez le nom et les informations relatives à la société facturatrice dans les cellules ci-dessous." sqref="D107"/>
    <dataValidation allowBlank="1" showInputMessage="1" showErrorMessage="1" prompt="Le total de la facture est automatiquement mis à jour dans la cellule de droite." sqref="G103"/>
    <dataValidation allowBlank="1" showInputMessage="1" showErrorMessage="1" prompt="Le total de la facture est automatiquement mis à jour dans cette cellule." sqref="H103"/>
    <dataValidation allowBlank="1" showInputMessage="1" showErrorMessage="1" prompt="Entrez le montant de l’acompte déjà versé dans la cellule de droite." sqref="G102"/>
    <dataValidation allowBlank="1" showInputMessage="1" showErrorMessage="1" prompt="Entrez le montant de l’acompte déjà versé dans cette cellule." sqref="H102"/>
    <dataValidation allowBlank="1" showInputMessage="1" showErrorMessage="1" prompt="Entrez le taux de TVA dans la cellule de gauche et la TVA sera automatiquement mise à jour dans la cellule de droite." sqref="G101"/>
    <dataValidation allowBlank="1" showInputMessage="1" showErrorMessage="1" prompt="La TVA est automatiquement mise à jour dans cette cellule." sqref="H101"/>
    <dataValidation allowBlank="1" showInputMessage="1" showErrorMessage="1" prompt="Entrez le taux de TVA dans la cellule de droite." sqref="D101"/>
    <dataValidation allowBlank="1" showInputMessage="1" showErrorMessage="1" prompt="Entrez le taux de TVA dans cette cellule. Entrez 0 % en cas d’exemption de TVA." sqref="E101:F101"/>
    <dataValidation allowBlank="1" showInputMessage="1" showErrorMessage="1" prompt="Entrez le numéro de téléphone de la société facturatrice dans cette cellule. À ajouter après Téléphone :" sqref="D108"/>
    <dataValidation allowBlank="1" showInputMessage="1" showErrorMessage="1" prompt="Entrez l’adresse de la société facturatrice dans cette cellule." sqref="E108:F108"/>
    <dataValidation allowBlank="1" showInputMessage="1" showErrorMessage="1" prompt="Entrez le code postal et la ville de la société facturatrice dans cette cellule." sqref="E109:F109"/>
    <dataValidation allowBlank="1" showInputMessage="1" showErrorMessage="1" prompt="Entrez le site web de la société facturatrice dans cette cellule." sqref="G108:H108"/>
    <dataValidation allowBlank="1" showInputMessage="1" showErrorMessage="1" prompt="Entrez l’adresse e-mail de la société facturatrice dans cette cellule." sqref="G109:H109"/>
    <dataValidation allowBlank="1" showInputMessage="1" showErrorMessage="1" prompt="Entrez le numéro de télécopie de la société facturatrice dans cette cellule. À ajouter après Télécopie :" sqref="D109"/>
    <dataValidation allowBlank="1" showInputMessage="1" showErrorMessage="1" prompt="Créez une facture calculant le total dans ce classeur. Entrez les informations relatives à la facturation, à la livraison et au client dans la colonne B, et les détails de la facture dans le tableau. Le total dû est automatiquement calculé." sqref="A1"/>
    <dataValidation allowBlank="1" showInputMessage="1" showErrorMessage="1" prompt="Entrez le numéro de la facture dans la cellule de droite." sqref="F1:G1"/>
    <dataValidation allowBlank="1" showInputMessage="1" showErrorMessage="1" prompt="Entrez le numéro de la facture dans cette cellule, et la description du projet ou du service facturé dans la cellule D3." sqref="H1"/>
    <dataValidation allowBlank="1" showInputMessage="1" showErrorMessage="1" prompt="Entrez les informations relatives à la facturation et à la livraison dans les cellules ci-dessous. Entrez les détails de la facture dans le tableau Facture à partir de la cellule D7." sqref="B2"/>
    <dataValidation allowBlank="1" showInputMessage="1" showErrorMessage="1" prompt="Entrez la description du projet ou du service dans la cellule ci-dessous." sqref="D2:H2"/>
    <dataValidation allowBlank="1" showInputMessage="1" showErrorMessage="1" prompt="Entrez la description du projet ou du service dans cette cellule, et les détails de la facture dans le tableau ci-dessous." sqref="D3:H3"/>
    <dataValidation allowBlank="1" showInputMessage="1" showErrorMessage="1" prompt="Entrez la référence de l’article dans cette colonne sous ce titre." sqref="D4"/>
    <dataValidation allowBlank="1" showInputMessage="1" showErrorMessage="1" prompt="Entrez la description dans cette colonne sous ce titre. Le nombre total d’articles apparaît à la fin de cette colonne du tableau." sqref="E4"/>
    <dataValidation allowBlank="1" showInputMessage="1" showErrorMessage="1" prompt="Entrez le prix dans cette colonne sous ce titre." sqref="F4"/>
    <dataValidation allowBlank="1" showInputMessage="1" showErrorMessage="1" prompt="Entrez la quantité dans cette colonne sous ce titre." sqref="G4"/>
    <dataValidation allowBlank="1" showInputMessage="1" showErrorMessage="1" prompt="Le montant est automatiquement calculé dans cette colonne. Entrez le taux de TVA sous le tableau. Le sous-total, le montant de la TVA, l’acompte déjà versé et le total de la facture figurent à fin de cette colonne." sqref="H4"/>
    <dataValidation allowBlank="1" showInputMessage="1" showErrorMessage="1" prompt="Entrez les informations relatives à la livraison dans les cellules ci-dessous." sqref="B8"/>
    <dataValidation allowBlank="1" showInputMessage="1" showErrorMessage="1" prompt="Le nom de la société est automatiquement mis à jour dans la cellule ci-dessous. Entrez les informations de contact dans les cellules B19 à B21." sqref="B15"/>
    <dataValidation allowBlank="1" showInputMessage="1" showErrorMessage="1" prompt="Le nom de la société est automatiquement mis à jour dans cette cellule." sqref="B16"/>
    <dataValidation allowBlank="1" showInputMessage="1" showErrorMessage="1" prompt="Entrez les informations de contact dans les cellules ci-dessous. Entrez le nom et les informations relatives à la société sous les détails du tableau Facture à la fin de la feuille de calcul." sqref="B17:B18"/>
    <dataValidation allowBlank="1" showInputMessage="1" showErrorMessage="1" prompt="Sous Adresse de facturation : Entrez le nom dans cette cellule." sqref="B3"/>
    <dataValidation allowBlank="1" showInputMessage="1" showErrorMessage="1" prompt="Sous Adresse de facturation : Entrez le nom de la société dans cette cellule." sqref="B4"/>
    <dataValidation allowBlank="1" showInputMessage="1" showErrorMessage="1" prompt="Sous Adresse de facturation : Entrez l’adresse dans cette cellule." sqref="B5"/>
    <dataValidation allowBlank="1" showInputMessage="1" showErrorMessage="1" prompt="Sous Adresse de facturation : Entrez le code postal et la ville dans cette cellule." sqref="B6"/>
    <dataValidation allowBlank="1" showInputMessage="1" showErrorMessage="1" prompt="Sous Adresse de facturation : Entrez le numéro de téléphone dans cette cellule." sqref="B7"/>
    <dataValidation allowBlank="1" showInputMessage="1" showErrorMessage="1" prompt="Sous Adresse de livraison : Entrez le nom dans cette cellule." sqref="B9"/>
    <dataValidation allowBlank="1" showInputMessage="1" showErrorMessage="1" prompt="Sous Adresse de livraison : Entrez le nom de la société dans cette cellule." sqref="B10"/>
    <dataValidation allowBlank="1" showInputMessage="1" showErrorMessage="1" prompt="Sous Adresse de livraison : Entrez l’adresse dans cette cellule." sqref="B11"/>
    <dataValidation allowBlank="1" showInputMessage="1" showErrorMessage="1" prompt="Sous Adresse de livraison : Entrez le code postal et la ville dans cette cellule." sqref="B12"/>
    <dataValidation allowBlank="1" showInputMessage="1" showErrorMessage="1" prompt="Sous Adresse de livraison : Entrez le numéro de téléphone dans cette cellule." sqref="B13"/>
    <dataValidation allowBlank="1" showInputMessage="1" showErrorMessage="1" prompt="Entrez le nom du contact de la société facturatrice dans cette cellule." sqref="B19"/>
    <dataValidation allowBlank="1" showInputMessage="1" showErrorMessage="1" prompt="Entrez le numéro de téléphone du contact de la société facturatrice dans cette cellule." sqref="B20"/>
    <dataValidation allowBlank="1" showInputMessage="1" showErrorMessage="1" prompt="Entrez l’adresse e-mail du contact de la société facturatrice dans cette cellule." sqref="B21"/>
    <dataValidation allowBlank="1" showInputMessage="1" showErrorMessage="1" prompt="Ajoutez le logo de la société dans cette cellule. Mettez à jour les informations relatives à la facturation, à la livraison et au client dans les cellules ci-dessous. Entrez le numéro de la facture dans la cellule H1." sqref="B1"/>
    <dataValidation allowBlank="1" showInputMessage="1" showErrorMessage="1" prompt="Entrez la date de la facture dans cette cellule." sqref="D1:E1"/>
    <dataValidation type="decimal" errorStyle="warning" operator="greaterThanOrEqual" allowBlank="1" showInputMessage="1" showErrorMessage="1" error="Entrez une quantité supérieure ou égale à 0. Appuyez sur ANNULER et entrez la valeur." sqref="G5:G99">
      <formula1>0</formula1>
    </dataValidation>
    <dataValidation type="decimal" errorStyle="warning" operator="greaterThanOrEqual" allowBlank="1" showInputMessage="1" showErrorMessage="1" error="Entrez un prix supérieur ou égal à 0. Appuyez sur ANNULER et entrez la valeur." sqref="F5:F99">
      <formula1>0</formula1>
    </dataValidation>
  </dataValidations>
  <hyperlinks>
    <hyperlink ref="G109" r:id="rId1"/>
    <hyperlink ref="E29" r:id="rId2" display="https://www.almouggar.com/shop/product/698703-la-source-du-francais-cp-cahier-d-activites-2-598373"/>
    <hyperlink ref="E80" r:id="rId3" display="https://almouggar.com/shop/product/etincelle-svt-3-ac-activites-181832?page=3&amp;category=3163"/>
    <hyperlink ref="E78" r:id="rId4" display="https://www.almouggar.com/shop/product/parcours-mathematiques-2ac-livre-de-l-eleve-vise-par-le-ministere-de-l-education-nationale-546176"/>
    <hyperlink ref="E14" r:id="rId5" display="https://unib.net.ma/products/le-francais-au-quotidien-ce1-cahier-dactivite"/>
    <hyperlink ref="E15" r:id="rId6" display="https://www.enseignants.hachette-education.com/livres/mot-passe-francais-ce2-cahier-eleve-ed-2016-9782013941624"/>
    <hyperlink ref="E16" r:id="rId7" display="https://www.enseignants.hachette-education.com/livres/mot-passe-francais-ce2-livre-eleve-ed-2016-9782013941617"/>
    <hyperlink ref="E19" r:id="rId8" display="https://almouggar.com/shop/product/apostro-sciences-cm2-2021-150902?page=5&amp;category=3112&amp;order=name_sort+asc"/>
    <hyperlink ref="E20" r:id="rId9" display="https://www.almouggar.com/shop/product/127230-apostro-sciences-cp-2020-598147"/>
    <hyperlink ref="E21" r:id="rId10" display="https://www.almouggar.com/shop/product/apostro-sciences-ce1-598146?category=3114&amp;order=name+asc"/>
    <hyperlink ref="E30" r:id="rId11" display="https://www.almouggar.com/shop/product/la-source-du-francais-ce2-manuel-de-l-eleve-598366?page=3&amp;category=3115&amp;order=list_price+desc"/>
    <hyperlink ref="E31" r:id="rId12" display="https://www.almouggar.com/shop/product/698703-la-source-du-francais-cp-cahier-d-activites-2-598373"/>
    <hyperlink ref="E33" r:id="rId13" display="https://www.almouggar.com/shop/product/arc-en-ciel-ce1-lecture-2020-9638"/>
    <hyperlink ref="E34" r:id="rId14" display="https://www.almouggar.com/shop/product/arc-en-ciel-ce1-lecture-2020-9638"/>
    <hyperlink ref="E37" r:id="rId15" display="https://mylibrairie.ma/fr/accueil/4555-archipel-maths-6e-annee-fichier-de-l-eleve.html"/>
    <hyperlink ref="E40" r:id="rId16" display="https://www.almouggar.com/shop/product/l-univers-de-svt-3ac-manuel-de-l-eleve-2021-homologue-607601"/>
    <hyperlink ref="E41" r:id="rId17" display="https://almouggar.com/shop/product/l-univers-de-physique-chimie-3ac-manuel-de-l-eleve-2021-homologue-607605?page=3&amp;category=3121"/>
    <hyperlink ref="E42" r:id="rId18" display="https://almouggar.com/shop/product/l-univers-des-maths-2ac-manuel-de-l-eleve-2021-homologue-607604?category=3121"/>
    <hyperlink ref="E47" r:id="rId19" display="https://libraire.ma/livre/mon-labo-en-sciences-ce2/"/>
    <hyperlink ref="E49" r:id="rId20" display="https://libraire.ma/livre/mon-labo-en-informatique-et-robotique-ce5/"/>
    <hyperlink ref="E53" r:id="rId21" display="https://almouggar.com/shop/product/calcne4-calculator-maths-cm1-595076?page=2&amp;category=3116&amp;order=name_sort+asc"/>
    <hyperlink ref="E54" r:id="rId22" display="https://www.almouggar.com/shop/product/717714-je-progresse-en-science-et-technologie-ce1-546274"/>
    <hyperlink ref="E55" r:id="rId23" display="https://www.darsoulami.ma/produit/objectif-maths-cm1/"/>
    <hyperlink ref="E56" r:id="rId24" display="https://almouggar.com/shop/product/objectif-maths-ce1-610265"/>
    <hyperlink ref="E58" r:id="rId25" display="https://www.buroland.ma/produit/croque-maths-cp-cahier-eleve-2020-nathan/"/>
    <hyperlink ref="E59" r:id="rId26" display="https://www.almouggar.com/shop/product/nat124435-croque-maths-ce1-ed-2020-609313?page=3&amp;category=3114&amp;order=list_price+desc"/>
    <hyperlink ref="E62" r:id="rId27" display="https://almouggar.com/shop/product/9789920600109-esprit-svt-2eme-annee-college-manuel-598169?page=2&amp;category=3121"/>
    <hyperlink ref="E63" r:id="rId28" display="https://almouggar.com/shop/product/cap-sciences-cm1-ne-2022-620908"/>
    <hyperlink ref="E64" r:id="rId29" display="https://moncartable.ma/index.php?id_product=13231&amp;controller=product"/>
    <hyperlink ref="E66" r:id="rId30" display="https://mylibrairie.ma/fr/accueil/2000-mathematique-tronc-commun.html"/>
    <hyperlink ref="E68" r:id="rId31" display="https://www.holimia.ma/produit/maths-com-plus-2eac-college-2020/"/>
    <hyperlink ref="E73" r:id="rId32" display="https://mylibrairie.ma/fr/accueil/1761-accro-maths-cp-apm.html"/>
    <hyperlink ref="E74" r:id="rId33" display="https://mylibrairie.ma/fr/accueil/1762-accro-maths-ce1-apm.html"/>
    <hyperlink ref="E75" r:id="rId34" display="https://mylibrairie.ma/fr/accueil/1763-accro-sciences-cm1-apm.html"/>
    <hyperlink ref="E76" r:id="rId35" display="https://www.rentree-scolaire.ma/product/accro-sciences-cm2-apm-2017-edition-2017-editeur-sied/"/>
    <hyperlink ref="E77" r:id="rId36" display="https://www.lpmarocaine.com/ar/product/accro-sciences-6eme/"/>
  </hyperlinks>
  <printOptions horizontalCentered="1"/>
  <pageMargins left="0.5" right="0.5" top="1" bottom="0.75" header="0.5" footer="0.5"/>
  <pageSetup paperSize="9" scale="73" fitToHeight="0" orientation="portrait" r:id="rId37"/>
  <headerFooter differentFirst="1">
    <oddFooter>Page &amp;P of &amp;N</oddFooter>
  </headerFooter>
  <tableParts count="1">
    <tablePart r:id="rId3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10</vt:i4>
      </vt:variant>
    </vt:vector>
  </HeadingPairs>
  <TitlesOfParts>
    <vt:vector size="11" baseType="lpstr">
      <vt:lpstr>Facture simple</vt:lpstr>
      <vt:lpstr>Acompte</vt:lpstr>
      <vt:lpstr>NomSociété</vt:lpstr>
      <vt:lpstr>RégionTitreColonne1..B7</vt:lpstr>
      <vt:lpstr>RégionTitreColonne2..B13</vt:lpstr>
      <vt:lpstr>RégionTitreColonne3..B16</vt:lpstr>
      <vt:lpstr>RégionTitreColonne4..B21</vt:lpstr>
      <vt:lpstr>RégionTitreColonne5..D3</vt:lpstr>
      <vt:lpstr>TauxTVA</vt:lpstr>
      <vt:lpstr>TitreColonne1</vt:lpstr>
      <vt:lpstr>TVA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2018-06-13T07:39:26Z</dcterms:created>
  <dcterms:modified xsi:type="dcterms:W3CDTF">2024-07-03T18:43:44Z</dcterms:modified>
</cp:coreProperties>
</file>