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/>
  <bookViews>
    <workbookView xWindow="0" yWindow="0" windowWidth="19440" windowHeight="12195"/>
  </bookViews>
  <sheets>
    <sheet name="Facture simple" sheetId="1" r:id="rId1"/>
  </sheets>
  <definedNames>
    <definedName name="Acompte">'Facture simple'!$H$25</definedName>
    <definedName name="NomSociété">'Facture simple'!$D$30</definedName>
    <definedName name="RégionTitreColonne1..B7">'Facture simple'!$B$2</definedName>
    <definedName name="RégionTitreColonne2..B13">'Facture simple'!$B$8</definedName>
    <definedName name="RégionTitreColonne3..B16">'Facture simple'!$B$15</definedName>
    <definedName name="RégionTitreColonne4..B21">'Facture simple'!$B$17</definedName>
    <definedName name="RégionTitreColonne5..D3">'Facture simple'!$D$2</definedName>
    <definedName name="TauxTVA">'Facture simple'!$E$24</definedName>
    <definedName name="TitreColonne1">Facture[[#Headers],[Référence]]</definedName>
    <definedName name="TVA">'Facture simple'!$H$24</definedName>
  </definedNames>
  <calcPr calcId="124519"/>
</workbook>
</file>

<file path=xl/calcChain.xml><?xml version="1.0" encoding="utf-8"?>
<calcChain xmlns="http://schemas.openxmlformats.org/spreadsheetml/2006/main">
  <c r="H21" i="1"/>
  <c r="H5"/>
  <c r="H6"/>
  <c r="H7"/>
  <c r="H8"/>
  <c r="H9"/>
  <c r="H10"/>
  <c r="H11"/>
  <c r="H12"/>
  <c r="H13"/>
  <c r="H14"/>
  <c r="H15"/>
  <c r="H16"/>
  <c r="H17"/>
  <c r="H18"/>
  <c r="H19"/>
  <c r="H20"/>
  <c r="H22"/>
  <c r="E23"/>
  <c r="H23" l="1"/>
  <c r="H24" s="1"/>
  <c r="H26" s="1"/>
</calcChain>
</file>

<file path=xl/sharedStrings.xml><?xml version="1.0" encoding="utf-8"?>
<sst xmlns="http://schemas.openxmlformats.org/spreadsheetml/2006/main" count="38" uniqueCount="36">
  <si>
    <t>Référence</t>
  </si>
  <si>
    <t>Description</t>
  </si>
  <si>
    <t>Prix</t>
  </si>
  <si>
    <t>Quantité</t>
  </si>
  <si>
    <t>Sous-total</t>
  </si>
  <si>
    <t xml:space="preserve">Moins acompte déjà versé </t>
  </si>
  <si>
    <t>Total de la facture</t>
  </si>
  <si>
    <t>Montant</t>
  </si>
  <si>
    <t>LIBRAIRIE AL HABACHI</t>
  </si>
  <si>
    <t>HAY ALAMAL 09JUILLET N°46 SETTAT</t>
  </si>
  <si>
    <t>elim.technique@gmail.com</t>
  </si>
  <si>
    <t>05 23 40 65 36</t>
  </si>
  <si>
    <t>REMISE  :</t>
  </si>
  <si>
    <t>مكتبة الحبشي</t>
  </si>
  <si>
    <t>نبيل حبشي</t>
  </si>
  <si>
    <t>حي الامل شارع يوليوز رقم 46 سطات</t>
  </si>
  <si>
    <t>26000 سطات</t>
  </si>
  <si>
    <t>score high in english 1</t>
  </si>
  <si>
    <t>score high in english 2</t>
  </si>
  <si>
    <t>score high in english 3</t>
  </si>
  <si>
    <t>score high in english 5</t>
  </si>
  <si>
    <t>score high in english 6</t>
  </si>
  <si>
    <t>Step-up in English 5 Student book + Workbook</t>
  </si>
  <si>
    <t>Team Up in English 3 - Student Book </t>
  </si>
  <si>
    <t>Team Up in English 3 - Workbook</t>
  </si>
  <si>
    <t>The Magic Book – CM1 – Student's Book + Activity Book 4</t>
  </si>
  <si>
    <t>Happy Campers Level 1 Student's Book</t>
  </si>
  <si>
    <t>Happy Campers Level 2Student's Book</t>
  </si>
  <si>
    <t>Happy Campers Level 4 Student's Book</t>
  </si>
  <si>
    <t>Happy Campers Level 5 Student's Book</t>
  </si>
  <si>
    <t xml:space="preserve">                          ANGLAIS</t>
  </si>
  <si>
    <t>World explorers</t>
  </si>
  <si>
    <t xml:space="preserve"> English Step 1</t>
  </si>
  <si>
    <t>EMPOWER B2 STUDENT</t>
  </si>
  <si>
    <t>EMPOWER B2 Workbook</t>
  </si>
  <si>
    <t>Iwonder</t>
  </si>
</sst>
</file>

<file path=xl/styles.xml><?xml version="1.0" encoding="utf-8"?>
<styleSheet xmlns="http://schemas.openxmlformats.org/spreadsheetml/2006/main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(* #,##0_);_(* \(#,##0\);_(* &quot;-&quot;_);_(@_)"/>
    <numFmt numFmtId="165" formatCode="0.0%"/>
    <numFmt numFmtId="166" formatCode="#,##0_ ;\-#,##0\ "/>
    <numFmt numFmtId="167" formatCode="0#&quot; &quot;##&quot; &quot;##&quot; &quot;##&quot; &quot;##"/>
    <numFmt numFmtId="168" formatCode="_-* #,##0.00\ [$€-40C]_-;\-* #,##0.00\ [$€-40C]_-;_-* &quot;-&quot;??\ [$€-40C]_-;_-@_-"/>
  </numFmts>
  <fonts count="27">
    <font>
      <sz val="11"/>
      <color theme="1"/>
      <name val="Arial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b/>
      <sz val="20"/>
      <color theme="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22"/>
      <color theme="4"/>
      <name val="Arial"/>
      <family val="2"/>
      <scheme val="minor"/>
    </font>
    <font>
      <b/>
      <sz val="11"/>
      <color theme="4" tint="-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4"/>
      <color rgb="FF7030A0"/>
      <name val="Arial"/>
      <family val="2"/>
      <scheme val="minor"/>
    </font>
    <font>
      <b/>
      <sz val="20"/>
      <color rgb="FF7030A0"/>
      <name val="Arial"/>
      <family val="2"/>
      <scheme val="minor"/>
    </font>
    <font>
      <sz val="11"/>
      <color theme="4"/>
      <name val="Arial"/>
      <family val="2"/>
      <scheme val="minor"/>
    </font>
    <font>
      <b/>
      <sz val="10"/>
      <color theme="4"/>
      <name val="Arial"/>
      <family val="2"/>
      <scheme val="minor"/>
    </font>
    <font>
      <sz val="12"/>
      <color theme="4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horizontal="left" vertical="center" wrapText="1" indent="1"/>
    </xf>
    <xf numFmtId="165" fontId="9" fillId="0" borderId="0" applyFont="0" applyFill="0" applyBorder="0" applyAlignment="0" applyProtection="0"/>
    <xf numFmtId="0" fontId="5" fillId="0" borderId="0">
      <alignment horizontal="left" vertical="center" wrapText="1"/>
    </xf>
    <xf numFmtId="0" fontId="5" fillId="0" borderId="0">
      <alignment horizontal="left" vertical="center" wrapText="1"/>
    </xf>
    <xf numFmtId="166" fontId="8" fillId="0" borderId="0" applyFont="0" applyFill="0" applyBorder="0" applyProtection="0">
      <alignment horizontal="right" vertical="center" indent="1"/>
    </xf>
    <xf numFmtId="164" fontId="8" fillId="0" borderId="0" applyFont="0" applyFill="0" applyBorder="0" applyAlignment="0" applyProtection="0"/>
    <xf numFmtId="44" fontId="8" fillId="0" borderId="5" applyFont="0" applyFill="0" applyAlignment="0" applyProtection="0"/>
    <xf numFmtId="44" fontId="8" fillId="0" borderId="6" applyFont="0" applyFill="0" applyAlignment="0" applyProtection="0"/>
    <xf numFmtId="0" fontId="3" fillId="0" borderId="1">
      <alignment horizontal="right" vertical="center" indent="1"/>
    </xf>
    <xf numFmtId="14" fontId="4" fillId="0" borderId="1">
      <alignment horizontal="left" vertical="center"/>
    </xf>
    <xf numFmtId="0" fontId="2" fillId="0" borderId="0">
      <alignment wrapText="1"/>
    </xf>
    <xf numFmtId="0" fontId="5" fillId="0" borderId="0">
      <alignment horizontal="left" vertical="center" wrapText="1"/>
    </xf>
    <xf numFmtId="0" fontId="6" fillId="0" borderId="2"/>
    <xf numFmtId="0" fontId="8" fillId="0" borderId="4">
      <alignment vertical="center"/>
    </xf>
    <xf numFmtId="0" fontId="2" fillId="0" borderId="0" applyNumberFormat="0" applyFill="0" applyBorder="0">
      <alignment horizontal="right"/>
    </xf>
    <xf numFmtId="0" fontId="7" fillId="0" borderId="0" applyNumberFormat="0" applyFill="0" applyBorder="0">
      <alignment horizontal="right"/>
    </xf>
    <xf numFmtId="0" fontId="8" fillId="0" borderId="1" applyNumberFormat="0" applyFont="0" applyFill="0" applyAlignment="0">
      <alignment wrapText="1"/>
    </xf>
    <xf numFmtId="167" fontId="8" fillId="0" borderId="0" applyFont="0" applyFill="0" applyBorder="0" applyAlignment="0">
      <alignment horizontal="left" vertical="center" wrapText="1" indent="1"/>
    </xf>
    <xf numFmtId="0" fontId="2" fillId="0" borderId="0" applyNumberFormat="0" applyFill="0" applyBorder="0" applyProtection="0">
      <alignment horizontal="right" vertical="center" indent="1"/>
    </xf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19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19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19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1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</cellStyleXfs>
  <cellXfs count="48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right" vertical="center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3" fillId="0" borderId="1" xfId="8">
      <alignment horizontal="right" vertical="center" indent="1"/>
    </xf>
    <xf numFmtId="0" fontId="2" fillId="0" borderId="0" xfId="10">
      <alignment wrapText="1"/>
    </xf>
    <xf numFmtId="0" fontId="0" fillId="0" borderId="0" xfId="0">
      <alignment horizontal="left" vertical="center" wrapText="1" indent="1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>
      <alignment horizontal="left" vertical="center" wrapText="1" indent="1"/>
    </xf>
    <xf numFmtId="0" fontId="2" fillId="0" borderId="0" xfId="14">
      <alignment horizontal="right"/>
    </xf>
    <xf numFmtId="0" fontId="5" fillId="0" borderId="0" xfId="11">
      <alignment horizontal="left" vertical="center" wrapText="1"/>
    </xf>
    <xf numFmtId="167" fontId="5" fillId="0" borderId="0" xfId="17" applyFont="1" applyAlignment="1">
      <alignment horizontal="left" vertical="center" wrapText="1"/>
    </xf>
    <xf numFmtId="0" fontId="2" fillId="0" borderId="0" xfId="18">
      <alignment horizontal="right" vertical="center" indent="1"/>
    </xf>
    <xf numFmtId="0" fontId="2" fillId="0" borderId="0" xfId="10">
      <alignment wrapText="1"/>
    </xf>
    <xf numFmtId="0" fontId="0" fillId="0" borderId="1" xfId="16" applyFont="1" applyAlignment="1">
      <alignment horizontal="left" vertical="center" wrapText="1" inden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>
      <alignment horizontal="left" vertical="center" wrapText="1" indent="1"/>
    </xf>
    <xf numFmtId="0" fontId="0" fillId="0" borderId="0" xfId="0" applyFont="1" applyBorder="1" applyAlignment="1">
      <alignment horizontal="left" vertical="center" indent="1"/>
    </xf>
    <xf numFmtId="0" fontId="21" fillId="0" borderId="0" xfId="0" applyFont="1" applyBorder="1">
      <alignment horizontal="left" vertical="center" wrapText="1" indent="1"/>
    </xf>
    <xf numFmtId="0" fontId="22" fillId="0" borderId="0" xfId="11" applyFont="1" applyAlignment="1">
      <alignment horizontal="center" vertical="center" wrapText="1"/>
    </xf>
    <xf numFmtId="167" fontId="22" fillId="0" borderId="0" xfId="17" applyFont="1" applyAlignment="1">
      <alignment horizontal="center" vertical="center" wrapText="1"/>
    </xf>
    <xf numFmtId="0" fontId="22" fillId="0" borderId="0" xfId="10" applyFont="1" applyAlignment="1">
      <alignment horizontal="center" wrapText="1"/>
    </xf>
    <xf numFmtId="14" fontId="23" fillId="0" borderId="1" xfId="9" applyFont="1">
      <alignment horizontal="left" vertical="center"/>
    </xf>
    <xf numFmtId="168" fontId="0" fillId="0" borderId="0" xfId="0" applyNumberFormat="1" applyFont="1" applyBorder="1" applyAlignment="1">
      <alignment vertical="center"/>
    </xf>
    <xf numFmtId="43" fontId="0" fillId="0" borderId="5" xfId="6" applyNumberFormat="1" applyFont="1" applyAlignment="1">
      <alignment horizontal="left" vertical="center" wrapText="1" indent="1"/>
    </xf>
    <xf numFmtId="43" fontId="0" fillId="0" borderId="6" xfId="7" applyNumberFormat="1" applyFont="1" applyAlignment="1">
      <alignment horizontal="left" vertical="center" wrapText="1" indent="1"/>
    </xf>
    <xf numFmtId="14" fontId="4" fillId="0" borderId="1" xfId="9">
      <alignment horizontal="left" vertical="center"/>
    </xf>
    <xf numFmtId="0" fontId="3" fillId="0" borderId="1" xfId="8">
      <alignment horizontal="right" vertical="center" indent="1"/>
    </xf>
    <xf numFmtId="0" fontId="5" fillId="0" borderId="0" xfId="11">
      <alignment horizontal="left" vertical="center" wrapText="1"/>
    </xf>
    <xf numFmtId="0" fontId="7" fillId="0" borderId="0" xfId="15">
      <alignment horizontal="right"/>
    </xf>
    <xf numFmtId="0" fontId="2" fillId="0" borderId="0" xfId="14">
      <alignment horizontal="right"/>
    </xf>
    <xf numFmtId="0" fontId="2" fillId="0" borderId="0" xfId="10">
      <alignment wrapText="1"/>
    </xf>
    <xf numFmtId="165" fontId="0" fillId="0" borderId="0" xfId="1" applyFont="1" applyAlignment="1">
      <alignment horizontal="left" vertical="center" wrapText="1" indent="1"/>
    </xf>
    <xf numFmtId="0" fontId="5" fillId="0" borderId="0" xfId="11" applyBorder="1">
      <alignment horizontal="left" vertical="center" wrapText="1"/>
    </xf>
    <xf numFmtId="0" fontId="6" fillId="0" borderId="3" xfId="12" applyBorder="1"/>
    <xf numFmtId="43" fontId="17" fillId="0" borderId="5" xfId="0" applyNumberFormat="1" applyFont="1" applyFill="1" applyBorder="1" applyAlignment="1">
      <alignment horizontal="left" vertical="center" wrapText="1" indent="1"/>
    </xf>
    <xf numFmtId="0" fontId="24" fillId="0" borderId="0" xfId="2" applyFont="1">
      <alignment horizontal="left" vertical="center" wrapText="1"/>
    </xf>
    <xf numFmtId="43" fontId="25" fillId="0" borderId="5" xfId="6" applyNumberFormat="1" applyFont="1" applyAlignment="1">
      <alignment vertical="center"/>
    </xf>
    <xf numFmtId="166" fontId="25" fillId="0" borderId="0" xfId="4" applyFont="1" applyBorder="1">
      <alignment horizontal="right" vertical="center" indent="1"/>
    </xf>
    <xf numFmtId="43" fontId="25" fillId="0" borderId="0" xfId="6" applyNumberFormat="1" applyFont="1" applyBorder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0" fontId="25" fillId="0" borderId="0" xfId="2" applyFont="1">
      <alignment horizontal="left" vertical="center" wrapText="1"/>
    </xf>
    <xf numFmtId="2" fontId="25" fillId="0" borderId="5" xfId="4" applyNumberFormat="1" applyFont="1" applyBorder="1">
      <alignment horizontal="right" vertical="center" indent="1"/>
    </xf>
    <xf numFmtId="43" fontId="25" fillId="0" borderId="5" xfId="6" applyNumberFormat="1" applyFont="1" applyFill="1" applyAlignment="1">
      <alignment vertical="center"/>
    </xf>
  </cellXfs>
  <cellStyles count="52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6" builtinId="11" customBuiltin="1"/>
    <cellStyle name="Calcul" xfId="23" builtinId="22" customBuiltin="1"/>
    <cellStyle name="Cellule liée" xfId="24" builtinId="24" customBuiltin="1"/>
    <cellStyle name="Commentaire" xfId="14" builtinId="10" customBuiltin="1"/>
    <cellStyle name="Entrée" xfId="22" builtinId="20" customBuiltin="1"/>
    <cellStyle name="Insatisfaisant" xfId="20" builtinId="27" customBuiltin="1"/>
    <cellStyle name="Lien hypertexte" xfId="2" builtinId="8" customBuiltin="1"/>
    <cellStyle name="Lien hypertexte visité" xfId="3" builtinId="9" customBuiltin="1"/>
    <cellStyle name="Milliers" xfId="4" builtinId="3" customBuiltin="1"/>
    <cellStyle name="Milliers [0]" xfId="5" builtinId="6" customBuiltin="1"/>
    <cellStyle name="Monétaire" xfId="6" builtinId="4" customBuiltin="1"/>
    <cellStyle name="Monétaire [0]" xfId="7" builtinId="7" customBuiltin="1"/>
    <cellStyle name="Neutre" xfId="21" builtinId="28" customBuiltin="1"/>
    <cellStyle name="Normal" xfId="0" builtinId="0" customBuiltin="1"/>
    <cellStyle name="Paiement dû à la réception" xfId="15"/>
    <cellStyle name="Pourcentage" xfId="1" builtinId="5" customBuiltin="1"/>
    <cellStyle name="Satisfaisant" xfId="19" builtinId="26" customBuiltin="1"/>
    <cellStyle name="Séparateur épais foncé" xfId="16"/>
    <cellStyle name="Sortie" xfId="13" builtinId="21" customBuiltin="1"/>
    <cellStyle name="Téléphone" xfId="17"/>
    <cellStyle name="Texte explicatif" xfId="27" builtinId="53" customBuiltin="1"/>
    <cellStyle name="Titre" xfId="8" builtinId="15" customBuiltin="1"/>
    <cellStyle name="Titre 1" xfId="9" builtinId="16" customBuiltin="1"/>
    <cellStyle name="Titre 2" xfId="10" builtinId="17" customBuiltin="1"/>
    <cellStyle name="Titre 3" xfId="11" builtinId="18" customBuiltin="1"/>
    <cellStyle name="Titre 4" xfId="12" builtinId="19" customBuiltin="1"/>
    <cellStyle name="Total" xfId="18" builtinId="25" customBuiltin="1"/>
    <cellStyle name="Vérification" xfId="25" builtinId="23" customBuiltin="1"/>
  </cellStyles>
  <dxfs count="11">
    <dxf>
      <font>
        <b/>
        <strike val="0"/>
        <outline val="0"/>
        <shadow val="0"/>
        <u val="none"/>
        <vertAlign val="baseline"/>
        <sz val="10"/>
        <color theme="4"/>
        <name val="Arial"/>
        <scheme val="minor"/>
      </font>
      <numFmt numFmtId="35" formatCode="_-* #,##0.00\ _€_-;\-* #,##0.00\ _€_-;_-* &quot;-&quot;??\ _€_-;_-@_-"/>
    </dxf>
    <dxf>
      <font>
        <b/>
        <strike val="0"/>
        <outline val="0"/>
        <shadow val="0"/>
        <u val="none"/>
        <vertAlign val="baseline"/>
        <sz val="10"/>
        <color theme="4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4"/>
        <name val="Arial"/>
        <scheme val="minor"/>
      </font>
      <numFmt numFmtId="168" formatCode="_-* #,##0.00\ [$€-40C]_-;\-* #,##0.00\ [$€-40C]_-;_-* &quot;-&quot;??\ [$€-40C]_-;_-@_-"/>
    </dxf>
    <dxf>
      <font>
        <b/>
        <strike val="0"/>
        <outline val="0"/>
        <shadow val="0"/>
        <u val="none"/>
        <vertAlign val="baseline"/>
        <sz val="10"/>
        <color theme="4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scheme val="minor"/>
      </font>
      <numFmt numFmtId="35" formatCode="_-* #,##0.00\ _€_-;\-* #,##0.00\ _€_-;_-* &quot;-&quot;??\ _€_-;_-@_-"/>
      <fill>
        <patternFill patternType="none">
          <fgColor indexed="64"/>
          <bgColor indexed="65"/>
        </patternFill>
      </fill>
      <alignment horizontal="left" vertical="center" textRotation="0" wrapText="1" indent="1" relativeIndent="0" justifyLastLine="0" shrinkToFit="0" mergeCell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_-* #,##0.00\ [$€-40C]_-;\-* #,##0.00\ [$€-40C]_-;_-* &quot;-&quot;??\ [$€-40C]_-;_-@_-"/>
      <alignment horizontal="general" vertical="center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1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/>
        <bottom/>
      </border>
    </dxf>
    <dxf>
      <font>
        <b/>
        <i val="0"/>
      </font>
      <border>
        <left style="thin">
          <color theme="1"/>
        </left>
        <right style="thin">
          <color theme="1"/>
        </right>
        <top style="thin">
          <color theme="1"/>
        </top>
        <bottom style="thick">
          <color theme="1"/>
        </bottom>
        <vertical style="thin">
          <color theme="1"/>
        </vertical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Facture" defaultPivotStyle="PivotStyleLight16">
    <tableStyle name="Facture" pivot="0" count="3">
      <tableStyleElement type="wholeTable" dxfId="10"/>
      <tableStyleElement type="headerRow" dxfId="9"/>
      <tableStyleElement type="totalRow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cture" displayName="Facture" ref="D4:H23" totalsRowCount="1">
  <tableColumns count="5">
    <tableColumn id="1" name="Référence" totalsRowDxfId="7"/>
    <tableColumn id="2" name="Description" totalsRowFunction="custom" dataDxfId="3" totalsRowDxfId="6">
      <totalsRowFormula>"Nombre total d’articles : "&amp;SUBTOTAL(103,[Description])</totalsRowFormula>
    </tableColumn>
    <tableColumn id="3" name="Prix" dataDxfId="2" totalsRowDxfId="5"/>
    <tableColumn id="4" name="Quantité" totalsRowLabel="Sous-total" dataDxfId="1"/>
    <tableColumn id="5" name="Montant" totalsRowFunction="sum" dataDxfId="0" totalsRowDxfId="4" dataCellStyle="Monétaire">
      <calculatedColumnFormula>IFERROR(Facture[[#This Row],[Prix]]*Facture[[#This Row],[Quantité]], "")</calculatedColumnFormula>
    </tableColumn>
  </tableColumns>
  <tableStyleInfo name="Facture" showFirstColumn="0" showLastColumn="0" showRowStripes="1" showColumnStripes="0"/>
</table>
</file>

<file path=xl/theme/theme1.xml><?xml version="1.0" encoding="utf-8"?>
<a:theme xmlns:a="http://schemas.openxmlformats.org/drawingml/2006/main" name="Invoice">
  <a:themeElements>
    <a:clrScheme name="Simple Invo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F4623"/>
      </a:accent1>
      <a:accent2>
        <a:srgbClr val="DDDDDD"/>
      </a:accent2>
      <a:accent3>
        <a:srgbClr val="B2B2B2"/>
      </a:accent3>
      <a:accent4>
        <a:srgbClr val="969696"/>
      </a:accent4>
      <a:accent5>
        <a:srgbClr val="808080"/>
      </a:accent5>
      <a:accent6>
        <a:srgbClr val="5F5F5F"/>
      </a:accent6>
      <a:hlink>
        <a:srgbClr val="7F7F7F"/>
      </a:hlink>
      <a:folHlink>
        <a:srgbClr val="7F7F7F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ebooks.fr/9781107467255/Eyes-Open-Level-Students-Book-110746725X/plp" TargetMode="External"/><Relationship Id="rId13" Type="http://schemas.openxmlformats.org/officeDocument/2006/relationships/hyperlink" Target="https://mylibrairie.ma/fr/accueil/2210-score-high-in-english-1.html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abebooks.com/9780230470705/Happy-Campers-Level-Students-BookLanguage-023047070X/plp" TargetMode="External"/><Relationship Id="rId7" Type="http://schemas.openxmlformats.org/officeDocument/2006/relationships/hyperlink" Target="https://www.abebooks.fr/9781107467330/Eyes-Open-Level-Workbook-Online-1107467330/plp" TargetMode="External"/><Relationship Id="rId12" Type="http://schemas.openxmlformats.org/officeDocument/2006/relationships/hyperlink" Target="https://almouggar.com/shop/product/step-up-in-english-5-student-book-workbook-620852?page=6&amp;category=2989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bebooks.com/9780230470705/Happy-Campers-Level-Students-BookLanguage-023047070X/plp" TargetMode="External"/><Relationship Id="rId16" Type="http://schemas.openxmlformats.org/officeDocument/2006/relationships/hyperlink" Target="https://mylibrairie.ma/fr/accueil/2210-score-high-in-english-1.html" TargetMode="External"/><Relationship Id="rId1" Type="http://schemas.openxmlformats.org/officeDocument/2006/relationships/hyperlink" Target="mailto:elim.technique@gmail.com" TargetMode="External"/><Relationship Id="rId6" Type="http://schemas.openxmlformats.org/officeDocument/2006/relationships/hyperlink" Target="https://www.buroland.ma/produit/the-magic-book-cm1-students-book-activity-book-4-eli/" TargetMode="External"/><Relationship Id="rId11" Type="http://schemas.openxmlformats.org/officeDocument/2006/relationships/hyperlink" Target="https://almouggar.com/shop/product/step-up-in-english-5-student-book-workbook-620852?page=6&amp;category=2989" TargetMode="External"/><Relationship Id="rId5" Type="http://schemas.openxmlformats.org/officeDocument/2006/relationships/hyperlink" Target="https://www.abebooks.com/9780230470705/Happy-Campers-Level-Students-BookLanguage-023047070X/plp" TargetMode="External"/><Relationship Id="rId15" Type="http://schemas.openxmlformats.org/officeDocument/2006/relationships/hyperlink" Target="https://mylibrairie.ma/fr/accueil/2210-score-high-in-english-1.html" TargetMode="External"/><Relationship Id="rId10" Type="http://schemas.openxmlformats.org/officeDocument/2006/relationships/hyperlink" Target="https://moncartable.ma/index.php?id_product=9320&amp;controller=product" TargetMode="External"/><Relationship Id="rId4" Type="http://schemas.openxmlformats.org/officeDocument/2006/relationships/hyperlink" Target="https://www.abebooks.com/9780230470705/Happy-Campers-Level-Students-BookLanguage-023047070X/plp" TargetMode="External"/><Relationship Id="rId9" Type="http://schemas.openxmlformats.org/officeDocument/2006/relationships/hyperlink" Target="https://moncartable.ma/index.php?id_product=9321&amp;controller=product" TargetMode="External"/><Relationship Id="rId14" Type="http://schemas.openxmlformats.org/officeDocument/2006/relationships/hyperlink" Target="https://mylibrairie.ma/fr/accueil/2210-score-high-in-english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4"/>
    <pageSetUpPr fitToPage="1"/>
  </sheetPr>
  <dimension ref="B1:L32"/>
  <sheetViews>
    <sheetView showGridLines="0" tabSelected="1" topLeftCell="A15" workbookViewId="0">
      <selection activeCell="K22" sqref="K22"/>
    </sheetView>
  </sheetViews>
  <sheetFormatPr baseColWidth="10" defaultColWidth="9" defaultRowHeight="31.5" customHeight="1"/>
  <cols>
    <col min="1" max="1" width="2.625" customWidth="1"/>
    <col min="2" max="2" width="25.625" customWidth="1"/>
    <col min="3" max="3" width="2.625" customWidth="1"/>
    <col min="4" max="4" width="15.625" customWidth="1"/>
    <col min="5" max="5" width="26.25" customWidth="1"/>
    <col min="6" max="7" width="13.625" customWidth="1"/>
    <col min="8" max="8" width="15.625" customWidth="1"/>
    <col min="9" max="9" width="2.625" customWidth="1"/>
  </cols>
  <sheetData>
    <row r="1" spans="2:12" s="4" customFormat="1" ht="60" customHeight="1" thickBot="1">
      <c r="B1" s="26" t="s">
        <v>13</v>
      </c>
      <c r="D1" s="30" t="s">
        <v>30</v>
      </c>
      <c r="E1" s="30"/>
      <c r="F1" s="31"/>
      <c r="G1" s="31"/>
      <c r="H1" s="7"/>
    </row>
    <row r="2" spans="2:12" ht="31.5" customHeight="1" thickTop="1">
      <c r="B2" s="8"/>
      <c r="D2" s="35"/>
      <c r="E2" s="35"/>
      <c r="F2" s="35"/>
      <c r="G2" s="35"/>
      <c r="H2" s="35"/>
    </row>
    <row r="3" spans="2:12" ht="31.5" customHeight="1">
      <c r="B3" s="23" t="s">
        <v>14</v>
      </c>
      <c r="D3" s="32"/>
      <c r="E3" s="32"/>
      <c r="F3" s="32"/>
      <c r="G3" s="32"/>
      <c r="H3" s="32"/>
    </row>
    <row r="4" spans="2:12" s="9" customFormat="1" ht="31.5" customHeight="1">
      <c r="B4" s="23" t="s">
        <v>13</v>
      </c>
      <c r="D4" s="10" t="s">
        <v>0</v>
      </c>
      <c r="E4" s="10" t="s">
        <v>1</v>
      </c>
      <c r="F4" s="11" t="s">
        <v>2</v>
      </c>
      <c r="G4" s="11" t="s">
        <v>3</v>
      </c>
      <c r="H4" s="11" t="s">
        <v>7</v>
      </c>
    </row>
    <row r="5" spans="2:12" s="4" customFormat="1" ht="31.5" customHeight="1">
      <c r="B5" s="23" t="s">
        <v>15</v>
      </c>
      <c r="C5"/>
      <c r="D5" s="19"/>
      <c r="E5" s="40" t="s">
        <v>17</v>
      </c>
      <c r="F5" s="41">
        <v>125</v>
      </c>
      <c r="G5" s="42">
        <v>3</v>
      </c>
      <c r="H5" s="43">
        <f>IFERROR(Facture[[#This Row],[Prix]]*Facture[[#This Row],[Quantité]], "")</f>
        <v>375</v>
      </c>
    </row>
    <row r="6" spans="2:12" ht="31.5" customHeight="1">
      <c r="B6" s="23" t="s">
        <v>16</v>
      </c>
      <c r="D6" s="12"/>
      <c r="E6" s="44" t="s">
        <v>18</v>
      </c>
      <c r="F6" s="41">
        <v>125</v>
      </c>
      <c r="G6" s="42">
        <v>2</v>
      </c>
      <c r="H6" s="43">
        <f>IFERROR(Facture[[#This Row],[Prix]]*Facture[[#This Row],[Quantité]], "")</f>
        <v>250</v>
      </c>
    </row>
    <row r="7" spans="2:12" ht="31.5" customHeight="1">
      <c r="B7" s="24">
        <v>661892286</v>
      </c>
      <c r="D7" s="12"/>
      <c r="E7" s="40" t="s">
        <v>19</v>
      </c>
      <c r="F7" s="41">
        <v>149</v>
      </c>
      <c r="G7" s="42">
        <v>4</v>
      </c>
      <c r="H7" s="43">
        <f>IFERROR(Facture[[#This Row],[Prix]]*Facture[[#This Row],[Quantité]], "")</f>
        <v>596</v>
      </c>
    </row>
    <row r="8" spans="2:12" ht="31.5" customHeight="1">
      <c r="B8" s="25" t="s">
        <v>11</v>
      </c>
      <c r="D8" s="12"/>
      <c r="E8" s="40" t="s">
        <v>20</v>
      </c>
      <c r="F8" s="41">
        <v>149</v>
      </c>
      <c r="G8" s="42">
        <v>3</v>
      </c>
      <c r="H8" s="43">
        <f>IFERROR(Facture[[#This Row],[Prix]]*Facture[[#This Row],[Quantité]], "")</f>
        <v>447</v>
      </c>
      <c r="L8" s="9"/>
    </row>
    <row r="9" spans="2:12" ht="31.5" customHeight="1">
      <c r="B9" s="14"/>
      <c r="D9" s="19"/>
      <c r="E9" s="40" t="s">
        <v>21</v>
      </c>
      <c r="F9" s="41">
        <v>149</v>
      </c>
      <c r="G9" s="42">
        <v>3</v>
      </c>
      <c r="H9" s="43">
        <f>IFERROR(Facture[[#This Row],[Prix]]*Facture[[#This Row],[Quantité]], "")</f>
        <v>447</v>
      </c>
    </row>
    <row r="10" spans="2:12" ht="31.5" customHeight="1">
      <c r="B10" s="14"/>
      <c r="D10" s="19"/>
      <c r="E10" s="40" t="s">
        <v>22</v>
      </c>
      <c r="F10" s="41">
        <v>99</v>
      </c>
      <c r="G10" s="42">
        <v>2</v>
      </c>
      <c r="H10" s="43">
        <f>IFERROR(Facture[[#This Row],[Prix]]*Facture[[#This Row],[Quantité]], "")</f>
        <v>198</v>
      </c>
    </row>
    <row r="11" spans="2:12" s="5" customFormat="1" ht="31.5" customHeight="1">
      <c r="B11" s="14"/>
      <c r="D11" s="19"/>
      <c r="E11" s="40" t="s">
        <v>32</v>
      </c>
      <c r="F11" s="41">
        <v>120</v>
      </c>
      <c r="G11" s="42">
        <v>1</v>
      </c>
      <c r="H11" s="43">
        <f>IFERROR(Facture[[#This Row],[Prix]]*Facture[[#This Row],[Quantité]], "")</f>
        <v>120</v>
      </c>
    </row>
    <row r="12" spans="2:12" s="2" customFormat="1" ht="31.5" customHeight="1">
      <c r="B12" s="14"/>
      <c r="C12"/>
      <c r="D12" s="19"/>
      <c r="E12" s="40" t="s">
        <v>23</v>
      </c>
      <c r="F12" s="41">
        <v>130</v>
      </c>
      <c r="G12" s="42">
        <v>1</v>
      </c>
      <c r="H12" s="43">
        <f>IFERROR(Facture[[#This Row],[Prix]]*Facture[[#This Row],[Quantité]], "")</f>
        <v>130</v>
      </c>
    </row>
    <row r="13" spans="2:12" ht="31.5" customHeight="1">
      <c r="B13" s="15"/>
      <c r="D13" s="19"/>
      <c r="E13" s="40" t="s">
        <v>24</v>
      </c>
      <c r="F13" s="41">
        <v>90</v>
      </c>
      <c r="G13" s="42">
        <v>1</v>
      </c>
      <c r="H13" s="43">
        <f>IFERROR(Facture[[#This Row],[Prix]]*Facture[[#This Row],[Quantité]], "")</f>
        <v>90</v>
      </c>
    </row>
    <row r="14" spans="2:12" ht="31.5" customHeight="1" thickBot="1">
      <c r="B14" s="18"/>
      <c r="D14" s="19"/>
      <c r="E14" s="40" t="s">
        <v>33</v>
      </c>
      <c r="F14" s="41">
        <v>210</v>
      </c>
      <c r="G14" s="42">
        <v>1</v>
      </c>
      <c r="H14" s="43">
        <f>IFERROR(Facture[[#This Row],[Prix]]*Facture[[#This Row],[Quantité]], "")</f>
        <v>210</v>
      </c>
    </row>
    <row r="15" spans="2:12" ht="31.5" customHeight="1" thickTop="1">
      <c r="B15" s="17"/>
      <c r="D15" s="19"/>
      <c r="E15" s="40" t="s">
        <v>34</v>
      </c>
      <c r="F15" s="41">
        <v>119</v>
      </c>
      <c r="G15" s="42">
        <v>1</v>
      </c>
      <c r="H15" s="43">
        <f>IFERROR(Facture[[#This Row],[Prix]]*Facture[[#This Row],[Quantité]], "")</f>
        <v>119</v>
      </c>
    </row>
    <row r="16" spans="2:12" ht="31.5" customHeight="1">
      <c r="B16" s="14"/>
      <c r="D16" s="19"/>
      <c r="E16" s="40" t="s">
        <v>25</v>
      </c>
      <c r="F16" s="41">
        <v>99</v>
      </c>
      <c r="G16" s="42">
        <v>1</v>
      </c>
      <c r="H16" s="43">
        <f>IFERROR(Facture[[#This Row],[Prix]]*Facture[[#This Row],[Quantité]], "")</f>
        <v>99</v>
      </c>
    </row>
    <row r="17" spans="2:8" ht="31.5" customHeight="1">
      <c r="B17" s="35"/>
      <c r="D17" s="20"/>
      <c r="E17" s="40" t="s">
        <v>26</v>
      </c>
      <c r="F17" s="41">
        <v>120</v>
      </c>
      <c r="G17" s="42">
        <v>1</v>
      </c>
      <c r="H17" s="43">
        <f>IFERROR(Facture[[#This Row],[Prix]]*Facture[[#This Row],[Quantité]], "")</f>
        <v>120</v>
      </c>
    </row>
    <row r="18" spans="2:8" ht="31.5" customHeight="1">
      <c r="B18" s="35"/>
      <c r="D18" s="22"/>
      <c r="E18" s="40" t="s">
        <v>27</v>
      </c>
      <c r="F18" s="41">
        <v>120</v>
      </c>
      <c r="G18" s="42">
        <v>3</v>
      </c>
      <c r="H18" s="43">
        <f>IFERROR(Facture[[#This Row],[Prix]]*Facture[[#This Row],[Quantité]], "")</f>
        <v>360</v>
      </c>
    </row>
    <row r="19" spans="2:8" s="4" customFormat="1" ht="31.5" customHeight="1">
      <c r="B19" s="14"/>
      <c r="D19" s="22"/>
      <c r="E19" s="40" t="s">
        <v>28</v>
      </c>
      <c r="F19" s="41">
        <v>120</v>
      </c>
      <c r="G19" s="42">
        <v>1</v>
      </c>
      <c r="H19" s="43">
        <f>IFERROR(Facture[[#This Row],[Prix]]*Facture[[#This Row],[Quantité]], "")</f>
        <v>120</v>
      </c>
    </row>
    <row r="20" spans="2:8" s="4" customFormat="1" ht="31.5" customHeight="1">
      <c r="B20" s="15"/>
      <c r="C20" s="13"/>
      <c r="D20" s="22"/>
      <c r="E20" s="40" t="s">
        <v>29</v>
      </c>
      <c r="F20" s="41">
        <v>120</v>
      </c>
      <c r="G20" s="42">
        <v>2</v>
      </c>
      <c r="H20" s="43">
        <f>IFERROR(Facture[[#This Row],[Prix]]*Facture[[#This Row],[Quantité]], "")</f>
        <v>240</v>
      </c>
    </row>
    <row r="21" spans="2:8" ht="31.5" customHeight="1">
      <c r="B21" s="14"/>
      <c r="D21" s="22"/>
      <c r="E21" s="45" t="s">
        <v>35</v>
      </c>
      <c r="F21" s="46">
        <v>250</v>
      </c>
      <c r="G21" s="42">
        <v>1</v>
      </c>
      <c r="H21" s="47">
        <f>IFERROR(Facture[[#This Row],[Prix]]*Facture[[#This Row],[Quantité]], "")</f>
        <v>250</v>
      </c>
    </row>
    <row r="22" spans="2:8" ht="31.5" customHeight="1">
      <c r="D22" s="22"/>
      <c r="E22" s="40" t="s">
        <v>31</v>
      </c>
      <c r="F22" s="43">
        <v>199</v>
      </c>
      <c r="G22" s="42">
        <v>1</v>
      </c>
      <c r="H22" s="43">
        <f>IFERROR(Facture[[#This Row],[Prix]]*Facture[[#This Row],[Quantité]], "")</f>
        <v>199</v>
      </c>
    </row>
    <row r="23" spans="2:8" ht="31.5" customHeight="1">
      <c r="D23" s="12"/>
      <c r="E23" s="21" t="str">
        <f>"Nombre total d’articles : "&amp;SUBTOTAL(103,[Description])</f>
        <v>Nombre total d’articles : 18</v>
      </c>
      <c r="F23" s="27"/>
      <c r="G23" s="6" t="s">
        <v>4</v>
      </c>
      <c r="H23" s="39">
        <f>SUBTOTAL(109,[Montant])</f>
        <v>4370</v>
      </c>
    </row>
    <row r="24" spans="2:8" ht="31.5" customHeight="1">
      <c r="D24" s="16" t="s">
        <v>12</v>
      </c>
      <c r="E24" s="36">
        <v>-0.2</v>
      </c>
      <c r="F24" s="36"/>
      <c r="G24" s="16"/>
      <c r="H24" s="28">
        <f>IFERROR(IF(TauxTVA=0,0,Facture[[#Totals],[Montant]]*TauxTVA), "")</f>
        <v>-874</v>
      </c>
    </row>
    <row r="25" spans="2:8" ht="31.5" customHeight="1">
      <c r="D25" s="3"/>
      <c r="E25" s="1"/>
      <c r="G25" s="16" t="s">
        <v>5</v>
      </c>
      <c r="H25" s="28">
        <v>0</v>
      </c>
    </row>
    <row r="26" spans="2:8" ht="31.5" customHeight="1" thickBot="1">
      <c r="E26" s="1"/>
      <c r="G26" s="16" t="s">
        <v>6</v>
      </c>
      <c r="H26" s="29">
        <f>IFERROR((Facture[[#Totals],[Montant]]+TVA)-Acompte, "")</f>
        <v>3496</v>
      </c>
    </row>
    <row r="27" spans="2:8" ht="31.5" customHeight="1" thickTop="1">
      <c r="D27" s="33"/>
      <c r="E27" s="33"/>
      <c r="F27" s="33"/>
      <c r="G27" s="33"/>
      <c r="H27" s="33"/>
    </row>
    <row r="28" spans="2:8" ht="31.5" customHeight="1">
      <c r="D28" s="34"/>
      <c r="E28" s="34"/>
      <c r="F28" s="34"/>
      <c r="G28" s="34"/>
      <c r="H28" s="34"/>
    </row>
    <row r="29" spans="2:8" ht="31.5" customHeight="1" thickBot="1"/>
    <row r="30" spans="2:8" ht="31.5" customHeight="1" thickTop="1">
      <c r="D30" s="38" t="s">
        <v>8</v>
      </c>
      <c r="E30" s="38"/>
      <c r="F30" s="38"/>
      <c r="G30" s="38"/>
      <c r="H30" s="38"/>
    </row>
    <row r="31" spans="2:8" ht="31.5" customHeight="1">
      <c r="D31" s="15">
        <v>661892286</v>
      </c>
      <c r="E31" s="37" t="s">
        <v>9</v>
      </c>
      <c r="F31" s="37"/>
      <c r="G31" s="37"/>
      <c r="H31" s="37"/>
    </row>
    <row r="32" spans="2:8" ht="31.5" customHeight="1">
      <c r="D32" s="15" t="s">
        <v>11</v>
      </c>
      <c r="E32" s="32">
        <v>26000</v>
      </c>
      <c r="F32" s="32"/>
      <c r="G32" s="37" t="s">
        <v>10</v>
      </c>
      <c r="H32" s="37"/>
    </row>
  </sheetData>
  <dataConsolidate/>
  <mergeCells count="13">
    <mergeCell ref="G31:H31"/>
    <mergeCell ref="G32:H32"/>
    <mergeCell ref="E31:F31"/>
    <mergeCell ref="E32:F32"/>
    <mergeCell ref="B17:B18"/>
    <mergeCell ref="D30:H30"/>
    <mergeCell ref="D1:E1"/>
    <mergeCell ref="F1:G1"/>
    <mergeCell ref="D3:H3"/>
    <mergeCell ref="D27:H27"/>
    <mergeCell ref="D28:H28"/>
    <mergeCell ref="D2:H2"/>
    <mergeCell ref="E24:F24"/>
  </mergeCells>
  <phoneticPr fontId="0" type="noConversion"/>
  <dataValidations xWindow="171" yWindow="619" count="47">
    <dataValidation allowBlank="1" showInputMessage="1" showErrorMessage="1" prompt="Entrez le nom et les informations relatives à la société facturatrice dans les cellules ci-dessous." sqref="D30"/>
    <dataValidation allowBlank="1" showInputMessage="1" showErrorMessage="1" prompt="Le total de la facture est automatiquement mis à jour dans la cellule de droite." sqref="G26"/>
    <dataValidation allowBlank="1" showInputMessage="1" showErrorMessage="1" prompt="Le total de la facture est automatiquement mis à jour dans cette cellule." sqref="H26"/>
    <dataValidation allowBlank="1" showInputMessage="1" showErrorMessage="1" prompt="Entrez le montant de l’acompte déjà versé dans la cellule de droite." sqref="G25"/>
    <dataValidation allowBlank="1" showInputMessage="1" showErrorMessage="1" prompt="Entrez le montant de l’acompte déjà versé dans cette cellule." sqref="H25"/>
    <dataValidation allowBlank="1" showInputMessage="1" showErrorMessage="1" prompt="Entrez le taux de TVA dans la cellule de gauche et la TVA sera automatiquement mise à jour dans la cellule de droite." sqref="G24"/>
    <dataValidation allowBlank="1" showInputMessage="1" showErrorMessage="1" prompt="La TVA est automatiquement mise à jour dans cette cellule." sqref="H24"/>
    <dataValidation allowBlank="1" showInputMessage="1" showErrorMessage="1" prompt="Entrez le taux de TVA dans la cellule de droite." sqref="D24"/>
    <dataValidation allowBlank="1" showInputMessage="1" showErrorMessage="1" prompt="Entrez le taux de TVA dans cette cellule. Entrez 0 % en cas d’exemption de TVA." sqref="E24:F24"/>
    <dataValidation allowBlank="1" showInputMessage="1" showErrorMessage="1" prompt="Entrez le numéro de téléphone de la société facturatrice dans cette cellule. À ajouter après Téléphone :" sqref="D31"/>
    <dataValidation allowBlank="1" showInputMessage="1" showErrorMessage="1" prompt="Entrez l’adresse de la société facturatrice dans cette cellule." sqref="E31:F31"/>
    <dataValidation allowBlank="1" showInputMessage="1" showErrorMessage="1" prompt="Entrez le code postal et la ville de la société facturatrice dans cette cellule." sqref="E32:F32"/>
    <dataValidation allowBlank="1" showInputMessage="1" showErrorMessage="1" prompt="Entrez le site web de la société facturatrice dans cette cellule." sqref="G31:H31"/>
    <dataValidation allowBlank="1" showInputMessage="1" showErrorMessage="1" prompt="Entrez l’adresse e-mail de la société facturatrice dans cette cellule." sqref="G32:H32"/>
    <dataValidation allowBlank="1" showInputMessage="1" showErrorMessage="1" prompt="Entrez le numéro de télécopie de la société facturatrice dans cette cellule. À ajouter après Télécopie :" sqref="D32"/>
    <dataValidation allowBlank="1" showInputMessage="1" showErrorMessage="1" prompt="Créez une facture calculant le total dans ce classeur. Entrez les informations relatives à la facturation, à la livraison et au client dans la colonne B, et les détails de la facture dans le tableau. Le total dû est automatiquement calculé." sqref="A1"/>
    <dataValidation allowBlank="1" showInputMessage="1" showErrorMessage="1" prompt="Entrez le numéro de la facture dans la cellule de droite." sqref="F1:G1"/>
    <dataValidation allowBlank="1" showInputMessage="1" showErrorMessage="1" prompt="Entrez le numéro de la facture dans cette cellule, et la description du projet ou du service facturé dans la cellule D3." sqref="H1"/>
    <dataValidation allowBlank="1" showInputMessage="1" showErrorMessage="1" prompt="Entrez les informations relatives à la facturation et à la livraison dans les cellules ci-dessous. Entrez les détails de la facture dans le tableau Facture à partir de la cellule D7." sqref="B2"/>
    <dataValidation allowBlank="1" showInputMessage="1" showErrorMessage="1" prompt="Entrez la description du projet ou du service dans la cellule ci-dessous." sqref="D2:H2"/>
    <dataValidation allowBlank="1" showInputMessage="1" showErrorMessage="1" prompt="Entrez la description du projet ou du service dans cette cellule, et les détails de la facture dans le tableau ci-dessous." sqref="D3:H3"/>
    <dataValidation allowBlank="1" showInputMessage="1" showErrorMessage="1" prompt="Entrez la référence de l’article dans cette colonne sous ce titre." sqref="D4"/>
    <dataValidation allowBlank="1" showInputMessage="1" showErrorMessage="1" prompt="Entrez la description dans cette colonne sous ce titre. Le nombre total d’articles apparaît à la fin de cette colonne du tableau." sqref="E4"/>
    <dataValidation allowBlank="1" showInputMessage="1" showErrorMessage="1" prompt="Entrez le prix dans cette colonne sous ce titre." sqref="F4"/>
    <dataValidation allowBlank="1" showInputMessage="1" showErrorMessage="1" prompt="Entrez la quantité dans cette colonne sous ce titre." sqref="G4"/>
    <dataValidation allowBlank="1" showInputMessage="1" showErrorMessage="1" prompt="Le montant est automatiquement calculé dans cette colonne. Entrez le taux de TVA sous le tableau. Le sous-total, le montant de la TVA, l’acompte déjà versé et le total de la facture figurent à fin de cette colonne." sqref="H4"/>
    <dataValidation allowBlank="1" showInputMessage="1" showErrorMessage="1" prompt="Entrez les informations relatives à la livraison dans les cellules ci-dessous." sqref="B8"/>
    <dataValidation allowBlank="1" showInputMessage="1" showErrorMessage="1" prompt="Le nom de la société est automatiquement mis à jour dans la cellule ci-dessous. Entrez les informations de contact dans les cellules B19 à B21." sqref="B15"/>
    <dataValidation allowBlank="1" showInputMessage="1" showErrorMessage="1" prompt="Le nom de la société est automatiquement mis à jour dans cette cellule." sqref="B16"/>
    <dataValidation allowBlank="1" showInputMessage="1" showErrorMessage="1" prompt="Entrez les informations de contact dans les cellules ci-dessous. Entrez le nom et les informations relatives à la société sous les détails du tableau Facture à la fin de la feuille de calcul." sqref="B17:B18"/>
    <dataValidation allowBlank="1" showInputMessage="1" showErrorMessage="1" prompt="Sous Adresse de facturation : Entrez le nom dans cette cellule." sqref="B3"/>
    <dataValidation allowBlank="1" showInputMessage="1" showErrorMessage="1" prompt="Sous Adresse de facturation : Entrez le nom de la société dans cette cellule." sqref="B4"/>
    <dataValidation allowBlank="1" showInputMessage="1" showErrorMessage="1" prompt="Sous Adresse de facturation : Entrez l’adresse dans cette cellule." sqref="B5"/>
    <dataValidation allowBlank="1" showInputMessage="1" showErrorMessage="1" prompt="Sous Adresse de facturation : Entrez le code postal et la ville dans cette cellule." sqref="B6"/>
    <dataValidation allowBlank="1" showInputMessage="1" showErrorMessage="1" prompt="Sous Adresse de facturation : Entrez le numéro de téléphone dans cette cellule." sqref="B7"/>
    <dataValidation allowBlank="1" showInputMessage="1" showErrorMessage="1" prompt="Sous Adresse de livraison : Entrez le nom dans cette cellule." sqref="B9"/>
    <dataValidation allowBlank="1" showInputMessage="1" showErrorMessage="1" prompt="Sous Adresse de livraison : Entrez le nom de la société dans cette cellule." sqref="B10"/>
    <dataValidation allowBlank="1" showInputMessage="1" showErrorMessage="1" prompt="Sous Adresse de livraison : Entrez l’adresse dans cette cellule." sqref="B11"/>
    <dataValidation allowBlank="1" showInputMessage="1" showErrorMessage="1" prompt="Sous Adresse de livraison : Entrez le code postal et la ville dans cette cellule." sqref="B12"/>
    <dataValidation allowBlank="1" showInputMessage="1" showErrorMessage="1" prompt="Sous Adresse de livraison : Entrez le numéro de téléphone dans cette cellule." sqref="B13"/>
    <dataValidation allowBlank="1" showInputMessage="1" showErrorMessage="1" prompt="Entrez le nom du contact de la société facturatrice dans cette cellule." sqref="B19"/>
    <dataValidation allowBlank="1" showInputMessage="1" showErrorMessage="1" prompt="Entrez le numéro de téléphone du contact de la société facturatrice dans cette cellule." sqref="B20"/>
    <dataValidation allowBlank="1" showInputMessage="1" showErrorMessage="1" prompt="Entrez l’adresse e-mail du contact de la société facturatrice dans cette cellule." sqref="B21"/>
    <dataValidation allowBlank="1" showInputMessage="1" showErrorMessage="1" prompt="Ajoutez le logo de la société dans cette cellule. Mettez à jour les informations relatives à la facturation, à la livraison et au client dans les cellules ci-dessous. Entrez le numéro de la facture dans la cellule H1." sqref="B1"/>
    <dataValidation allowBlank="1" showInputMessage="1" showErrorMessage="1" prompt="Entrez la date de la facture dans cette cellule." sqref="D1:E1"/>
    <dataValidation type="decimal" errorStyle="warning" operator="greaterThanOrEqual" allowBlank="1" showInputMessage="1" showErrorMessage="1" error="Entrez une quantité supérieure ou égale à 0. Appuyez sur ANNULER et entrez la valeur." sqref="G5:G22">
      <formula1>0</formula1>
    </dataValidation>
    <dataValidation type="decimal" errorStyle="warning" operator="greaterThanOrEqual" allowBlank="1" showInputMessage="1" showErrorMessage="1" error="Entrez un prix supérieur ou égal à 0. Appuyez sur ANNULER et entrez la valeur." sqref="F5:F22">
      <formula1>0</formula1>
    </dataValidation>
  </dataValidations>
  <hyperlinks>
    <hyperlink ref="G32" r:id="rId1"/>
    <hyperlink ref="E20" r:id="rId2" display="https://www.abebooks.com/9780230470705/Happy-Campers-Level-Students-BookLanguage-023047070X/plp"/>
    <hyperlink ref="E19" r:id="rId3" display="https://www.abebooks.com/9780230470705/Happy-Campers-Level-Students-BookLanguage-023047070X/plp"/>
    <hyperlink ref="E18" r:id="rId4" display="https://www.abebooks.com/9780230470705/Happy-Campers-Level-Students-BookLanguage-023047070X/plp"/>
    <hyperlink ref="E17" r:id="rId5" display="https://www.abebooks.com/9780230470705/Happy-Campers-Level-Students-BookLanguage-023047070X/plp"/>
    <hyperlink ref="E16" r:id="rId6" display="https://www.buroland.ma/produit/the-magic-book-cm1-students-book-activity-book-4-eli/"/>
    <hyperlink ref="E15" r:id="rId7" display="https://www.abebooks.fr/9781107467330/Eyes-Open-Level-Workbook-Online-1107467330/plp"/>
    <hyperlink ref="E14" r:id="rId8" display="https://www.abebooks.fr/9781107467255/Eyes-Open-Level-Students-Book-110746725X/plp"/>
    <hyperlink ref="E13" r:id="rId9" display="https://moncartable.ma/index.php?id_product=9321&amp;controller=product"/>
    <hyperlink ref="E12" r:id="rId10" display="https://moncartable.ma/index.php?id_product=9320&amp;controller=product"/>
    <hyperlink ref="E11" r:id="rId11" display="https://almouggar.com/shop/product/step-up-in-english-5-student-book-workbook-620852?page=6&amp;category=2989"/>
    <hyperlink ref="E10" r:id="rId12" display="https://almouggar.com/shop/product/step-up-in-english-5-student-book-workbook-620852?page=6&amp;category=2989"/>
    <hyperlink ref="E9" r:id="rId13" display="https://mylibrairie.ma/fr/accueil/2210-score-high-in-english-1.html"/>
    <hyperlink ref="E8" r:id="rId14" display="https://mylibrairie.ma/fr/accueil/2210-score-high-in-english-1.html"/>
    <hyperlink ref="E7" r:id="rId15" display="https://mylibrairie.ma/fr/accueil/2210-score-high-in-english-1.html"/>
    <hyperlink ref="E5" r:id="rId16" display="https://mylibrairie.ma/fr/accueil/2210-score-high-in-english-1.html"/>
  </hyperlinks>
  <printOptions horizontalCentered="1"/>
  <pageMargins left="0.5" right="0.5" top="1" bottom="0.75" header="0.5" footer="0.5"/>
  <pageSetup paperSize="9" scale="73" fitToHeight="0" orientation="portrait" r:id="rId17"/>
  <headerFooter differentFirst="1">
    <oddFooter>Page &amp;P of &amp;N</oddFooter>
  </headerFooter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Facture simple</vt:lpstr>
      <vt:lpstr>Acompte</vt:lpstr>
      <vt:lpstr>NomSociété</vt:lpstr>
      <vt:lpstr>RégionTitreColonne1..B7</vt:lpstr>
      <vt:lpstr>RégionTitreColonne2..B13</vt:lpstr>
      <vt:lpstr>RégionTitreColonne3..B16</vt:lpstr>
      <vt:lpstr>RégionTitreColonne4..B21</vt:lpstr>
      <vt:lpstr>RégionTitreColonne5..D3</vt:lpstr>
      <vt:lpstr>TauxTVA</vt:lpstr>
      <vt:lpstr>TitreColonne1</vt:lpstr>
      <vt:lpstr>TVA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2018-06-13T07:39:26Z</dcterms:created>
  <dcterms:modified xsi:type="dcterms:W3CDTF">2024-07-03T18:25:02Z</dcterms:modified>
</cp:coreProperties>
</file>